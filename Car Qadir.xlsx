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honi\OneDrive\Documents\Steg hub Project\"/>
    </mc:Choice>
  </mc:AlternateContent>
  <xr:revisionPtr revIDLastSave="0" documentId="13_ncr:1_{F84A64E9-4186-4F68-8129-F49AA115ABF0}" xr6:coauthVersionLast="47" xr6:coauthVersionMax="47" xr10:uidLastSave="{00000000-0000-0000-0000-000000000000}"/>
  <bookViews>
    <workbookView xWindow="-28920" yWindow="-120" windowWidth="29040" windowHeight="15720" activeTab="1" xr2:uid="{3B646D10-8842-4BAC-907E-495A0A968280}"/>
  </bookViews>
  <sheets>
    <sheet name="Sheet1" sheetId="1" r:id="rId1"/>
    <sheet name="Table Insights" sheetId="4" r:id="rId2"/>
    <sheet name="Dashboard" sheetId="2" r:id="rId3"/>
  </sheets>
  <definedNames>
    <definedName name="_xlcn.WorksheetConnection_Car.xlsxTable3" hidden="1">Table3[]</definedName>
    <definedName name="Slicer_Color1">#N/A</definedName>
    <definedName name="Slicer_Owner">#N/A</definedName>
    <definedName name="Slicer_Transimiss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Car.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1" l="1"/>
  <c r="L15" i="1"/>
  <c r="L7" i="1"/>
  <c r="L13" i="1"/>
  <c r="L11" i="1"/>
  <c r="L9" i="1"/>
  <c r="L5" i="1"/>
  <c r="J2" i="1" l="1"/>
  <c r="J3" i="1"/>
  <c r="J4" i="1"/>
  <c r="J5" i="1"/>
  <c r="J6" i="1"/>
  <c r="J7" i="1"/>
  <c r="J8" i="1"/>
  <c r="J9" i="1"/>
  <c r="J10" i="1"/>
  <c r="J11" i="1"/>
  <c r="J12" i="1"/>
  <c r="J13" i="1"/>
  <c r="J14" i="1"/>
  <c r="J15" i="1"/>
  <c r="J16" i="1"/>
  <c r="J17" i="1"/>
  <c r="J18" i="1"/>
  <c r="J19" i="1"/>
  <c r="I3" i="1"/>
  <c r="I4" i="1"/>
  <c r="I5" i="1"/>
  <c r="I6" i="1"/>
  <c r="I7" i="1"/>
  <c r="I8" i="1"/>
  <c r="I9" i="1"/>
  <c r="I10" i="1"/>
  <c r="I11" i="1"/>
  <c r="I12" i="1"/>
  <c r="I13" i="1"/>
  <c r="I14" i="1"/>
  <c r="I15" i="1"/>
  <c r="I16" i="1"/>
  <c r="I17" i="1"/>
  <c r="I18" i="1"/>
  <c r="I19" i="1"/>
  <c r="I2" i="1"/>
  <c r="H2" i="1"/>
  <c r="H3" i="1"/>
  <c r="H4" i="1"/>
  <c r="H5" i="1"/>
  <c r="H6" i="1"/>
  <c r="H7" i="1"/>
  <c r="H8" i="1"/>
  <c r="H9" i="1"/>
  <c r="H10" i="1"/>
  <c r="H11" i="1"/>
  <c r="H12" i="1"/>
  <c r="H13" i="1"/>
  <c r="H14" i="1"/>
  <c r="H15" i="1"/>
  <c r="H16" i="1"/>
  <c r="H17" i="1"/>
  <c r="H18" i="1"/>
  <c r="H1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B43DED-F9E4-4B8E-9397-9A6B9B61DC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1723260-517E-4C09-9827-FA1CDDFFEE2B}" name="WorksheetConnection_Car.xlsx!Table3" type="102" refreshedVersion="8" minRefreshableVersion="5">
    <extLst>
      <ext xmlns:x15="http://schemas.microsoft.com/office/spreadsheetml/2010/11/main" uri="{DE250136-89BD-433C-8126-D09CA5730AF9}">
        <x15:connection id="Table3" autoDelete="1">
          <x15:rangePr sourceName="_xlcn.WorksheetConnection_Car.xlsxTable3"/>
        </x15:connection>
      </ext>
    </extLst>
  </connection>
</connections>
</file>

<file path=xl/sharedStrings.xml><?xml version="1.0" encoding="utf-8"?>
<sst xmlns="http://schemas.openxmlformats.org/spreadsheetml/2006/main" count="153" uniqueCount="53">
  <si>
    <t>Car</t>
  </si>
  <si>
    <t>Year</t>
  </si>
  <si>
    <t>KM Driven</t>
  </si>
  <si>
    <t>Color</t>
  </si>
  <si>
    <t>Transimission</t>
  </si>
  <si>
    <t>Owner</t>
  </si>
  <si>
    <t>Price (USD)</t>
  </si>
  <si>
    <t>BMW X5</t>
  </si>
  <si>
    <t>White</t>
  </si>
  <si>
    <t>Automatic</t>
  </si>
  <si>
    <t>1st owner</t>
  </si>
  <si>
    <t>Audi A3</t>
  </si>
  <si>
    <t>Red</t>
  </si>
  <si>
    <t>Manual</t>
  </si>
  <si>
    <t>2nd owner</t>
  </si>
  <si>
    <t>Mercedes S-Class</t>
  </si>
  <si>
    <t>Black</t>
  </si>
  <si>
    <t>3rd owner</t>
  </si>
  <si>
    <t>BMW X3</t>
  </si>
  <si>
    <t>Lexus RX350</t>
  </si>
  <si>
    <t>Blue</t>
  </si>
  <si>
    <t>BMW 3 Series</t>
  </si>
  <si>
    <t>Tesla Model 3</t>
  </si>
  <si>
    <t>Yellow</t>
  </si>
  <si>
    <t>Volvo XC90</t>
  </si>
  <si>
    <t>Audi Q7</t>
  </si>
  <si>
    <t>Cadillac XT5</t>
  </si>
  <si>
    <t>Jaguar XF</t>
  </si>
  <si>
    <t>BMW 428i</t>
  </si>
  <si>
    <t>4th owner</t>
  </si>
  <si>
    <t>Car Age</t>
  </si>
  <si>
    <t>Price Band</t>
  </si>
  <si>
    <t>Milage Group</t>
  </si>
  <si>
    <t>Lowest KM Driven</t>
  </si>
  <si>
    <t>Highest KM Driven</t>
  </si>
  <si>
    <t>Metrics</t>
  </si>
  <si>
    <t>Value</t>
  </si>
  <si>
    <t>Average Price</t>
  </si>
  <si>
    <t>Highest Car Price</t>
  </si>
  <si>
    <t>Lowest Car Price</t>
  </si>
  <si>
    <t>Avg KM Driven</t>
  </si>
  <si>
    <t>Total Cars</t>
  </si>
  <si>
    <t>Row Labels</t>
  </si>
  <si>
    <t>Grand Total</t>
  </si>
  <si>
    <t>Sum of Price (USD)</t>
  </si>
  <si>
    <t>Average of Price (USD)</t>
  </si>
  <si>
    <t>Count of Car</t>
  </si>
  <si>
    <t>Budget</t>
  </si>
  <si>
    <t>Luxury</t>
  </si>
  <si>
    <t>Mid Range</t>
  </si>
  <si>
    <t>High</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</si>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</sst>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409]#,##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0" borderId="0" xfId="0" applyFont="1"/>
    <xf numFmtId="2" fontId="0" fillId="0" borderId="0" xfId="0" applyNumberFormat="1"/>
    <xf numFmtId="164" fontId="1" fillId="0" borderId="0" xfId="0" applyNumberFormat="1" applyFont="1"/>
    <xf numFmtId="164" fontId="0" fillId="0" borderId="0" xfId="0" applyNumberFormat="1"/>
    <xf numFmtId="2" fontId="0" fillId="0" borderId="0" xfId="1" applyNumberFormat="1" applyFont="1"/>
    <xf numFmtId="0" fontId="0" fillId="0" borderId="0" xfId="0" pivotButton="1"/>
    <xf numFmtId="0" fontId="0" fillId="0" borderId="0" xfId="0" applyAlignment="1">
      <alignment horizontal="left"/>
    </xf>
  </cellXfs>
  <cellStyles count="2">
    <cellStyle name="Comma" xfId="1" builtinId="3"/>
    <cellStyle name="Normal" xfId="0" builtinId="0"/>
  </cellStyles>
  <dxfs count="8">
    <dxf>
      <numFmt numFmtId="164" formatCode="[$$-409]#,##0.0"/>
    </dxf>
    <dxf>
      <numFmt numFmtId="164" formatCode="[$$-409]#,##0.0"/>
    </dxf>
    <dxf>
      <numFmt numFmtId="164" formatCode="[$$-409]#,##0.0"/>
    </dxf>
    <dxf>
      <numFmt numFmtId="164" formatCode="[$$-409]#,##0.0"/>
    </dxf>
    <dxf>
      <numFmt numFmtId="0" formatCode="General"/>
    </dxf>
    <dxf>
      <numFmt numFmtId="0" formatCode="General"/>
    </dxf>
    <dxf>
      <numFmt numFmtId="0" formatCode="General"/>
    </dxf>
    <dxf>
      <numFmt numFmtId="164" formatCode="[$$-409]#,##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Insights'!$B$12</c:f>
              <c:strCache>
                <c:ptCount val="1"/>
                <c:pt idx="0">
                  <c:v>Total</c:v>
                </c:pt>
              </c:strCache>
            </c:strRef>
          </c:tx>
          <c:spPr>
            <a:solidFill>
              <a:schemeClr val="accent1"/>
            </a:solidFill>
            <a:ln>
              <a:noFill/>
            </a:ln>
            <a:effectLst/>
          </c:spPr>
          <c:invertIfNegative val="0"/>
          <c:cat>
            <c:strRef>
              <c:f>'Table Insights'!$A$13:$A$25</c:f>
              <c:strCache>
                <c:ptCount val="12"/>
                <c:pt idx="0">
                  <c:v>Mercedes S-Class</c:v>
                </c:pt>
                <c:pt idx="1">
                  <c:v>Tesla Model 3</c:v>
                </c:pt>
                <c:pt idx="2">
                  <c:v>BMW X3</c:v>
                </c:pt>
                <c:pt idx="3">
                  <c:v>BMW X5</c:v>
                </c:pt>
                <c:pt idx="4">
                  <c:v>Lexus RX350</c:v>
                </c:pt>
                <c:pt idx="5">
                  <c:v>BMW 428i</c:v>
                </c:pt>
                <c:pt idx="6">
                  <c:v>Cadillac XT5</c:v>
                </c:pt>
                <c:pt idx="7">
                  <c:v>Audi A3</c:v>
                </c:pt>
                <c:pt idx="8">
                  <c:v>Audi Q7</c:v>
                </c:pt>
                <c:pt idx="9">
                  <c:v>Jaguar XF</c:v>
                </c:pt>
                <c:pt idx="10">
                  <c:v>Volvo XC90</c:v>
                </c:pt>
                <c:pt idx="11">
                  <c:v>BMW 3 Series</c:v>
                </c:pt>
              </c:strCache>
            </c:strRef>
          </c:cat>
          <c:val>
            <c:numRef>
              <c:f>'Table Insights'!$B$13:$B$25</c:f>
              <c:numCache>
                <c:formatCode>[$$-409]#,##0.0</c:formatCode>
                <c:ptCount val="12"/>
                <c:pt idx="0">
                  <c:v>75843</c:v>
                </c:pt>
                <c:pt idx="1">
                  <c:v>52432</c:v>
                </c:pt>
                <c:pt idx="2">
                  <c:v>39802.5</c:v>
                </c:pt>
                <c:pt idx="3">
                  <c:v>38557.333333333336</c:v>
                </c:pt>
                <c:pt idx="4">
                  <c:v>38270.666666666664</c:v>
                </c:pt>
                <c:pt idx="5">
                  <c:v>35240</c:v>
                </c:pt>
                <c:pt idx="6">
                  <c:v>32420</c:v>
                </c:pt>
                <c:pt idx="7">
                  <c:v>24321</c:v>
                </c:pt>
                <c:pt idx="8">
                  <c:v>23250</c:v>
                </c:pt>
                <c:pt idx="9">
                  <c:v>18454</c:v>
                </c:pt>
                <c:pt idx="10">
                  <c:v>17452</c:v>
                </c:pt>
                <c:pt idx="11">
                  <c:v>13241</c:v>
                </c:pt>
              </c:numCache>
            </c:numRef>
          </c:val>
          <c:extLst>
            <c:ext xmlns:c16="http://schemas.microsoft.com/office/drawing/2014/chart" uri="{C3380CC4-5D6E-409C-BE32-E72D297353CC}">
              <c16:uniqueId val="{00000000-8856-462C-8F0A-203B37D30B98}"/>
            </c:ext>
          </c:extLst>
        </c:ser>
        <c:dLbls>
          <c:showLegendKey val="0"/>
          <c:showVal val="0"/>
          <c:showCatName val="0"/>
          <c:showSerName val="0"/>
          <c:showPercent val="0"/>
          <c:showBubbleSize val="0"/>
        </c:dLbls>
        <c:gapWidth val="219"/>
        <c:axId val="795776895"/>
        <c:axId val="795776415"/>
      </c:barChart>
      <c:catAx>
        <c:axId val="79577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5776415"/>
        <c:crosses val="autoZero"/>
        <c:auto val="1"/>
        <c:lblAlgn val="ctr"/>
        <c:lblOffset val="100"/>
        <c:noMultiLvlLbl val="0"/>
      </c:catAx>
      <c:valAx>
        <c:axId val="795776415"/>
        <c:scaling>
          <c:orientation val="minMax"/>
        </c:scaling>
        <c:delete val="0"/>
        <c:axPos val="b"/>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577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Insights'!$E$12</c:f>
              <c:strCache>
                <c:ptCount val="1"/>
                <c:pt idx="0">
                  <c:v>Total</c:v>
                </c:pt>
              </c:strCache>
            </c:strRef>
          </c:tx>
          <c:spPr>
            <a:solidFill>
              <a:schemeClr val="accent1"/>
            </a:solidFill>
            <a:ln>
              <a:noFill/>
            </a:ln>
            <a:effectLst/>
          </c:spPr>
          <c:invertIfNegative val="0"/>
          <c:cat>
            <c:strRef>
              <c:f>'Table Insights'!$D$13:$D$15</c:f>
              <c:strCache>
                <c:ptCount val="2"/>
                <c:pt idx="0">
                  <c:v>Automatic</c:v>
                </c:pt>
                <c:pt idx="1">
                  <c:v>Manual</c:v>
                </c:pt>
              </c:strCache>
            </c:strRef>
          </c:cat>
          <c:val>
            <c:numRef>
              <c:f>'Table Insights'!$E$13:$E$15</c:f>
              <c:numCache>
                <c:formatCode>[$$-409]#,##0.0</c:formatCode>
                <c:ptCount val="2"/>
                <c:pt idx="0">
                  <c:v>41559.75</c:v>
                </c:pt>
                <c:pt idx="1">
                  <c:v>29978</c:v>
                </c:pt>
              </c:numCache>
            </c:numRef>
          </c:val>
          <c:extLst>
            <c:ext xmlns:c16="http://schemas.microsoft.com/office/drawing/2014/chart" uri="{C3380CC4-5D6E-409C-BE32-E72D297353CC}">
              <c16:uniqueId val="{00000000-8A32-4276-A160-C8EA1D512D5C}"/>
            </c:ext>
          </c:extLst>
        </c:ser>
        <c:dLbls>
          <c:showLegendKey val="0"/>
          <c:showVal val="0"/>
          <c:showCatName val="0"/>
          <c:showSerName val="0"/>
          <c:showPercent val="0"/>
          <c:showBubbleSize val="0"/>
        </c:dLbls>
        <c:gapWidth val="219"/>
        <c:overlap val="-27"/>
        <c:axId val="1599753151"/>
        <c:axId val="1599754111"/>
      </c:barChart>
      <c:catAx>
        <c:axId val="159975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9754111"/>
        <c:crosses val="autoZero"/>
        <c:auto val="1"/>
        <c:lblAlgn val="ctr"/>
        <c:lblOffset val="100"/>
        <c:noMultiLvlLbl val="0"/>
      </c:catAx>
      <c:valAx>
        <c:axId val="1599754111"/>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975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Insights'!$L$18</c:f>
              <c:strCache>
                <c:ptCount val="1"/>
                <c:pt idx="0">
                  <c:v>Total</c:v>
                </c:pt>
              </c:strCache>
            </c:strRef>
          </c:tx>
          <c:spPr>
            <a:solidFill>
              <a:schemeClr val="accent1"/>
            </a:solidFill>
            <a:ln>
              <a:noFill/>
            </a:ln>
            <a:effectLst/>
          </c:spPr>
          <c:invertIfNegative val="0"/>
          <c:cat>
            <c:strRef>
              <c:f>'Table Insights'!$K$19:$K$22</c:f>
              <c:strCache>
                <c:ptCount val="3"/>
                <c:pt idx="0">
                  <c:v>High</c:v>
                </c:pt>
                <c:pt idx="1">
                  <c:v>Low</c:v>
                </c:pt>
                <c:pt idx="2">
                  <c:v>Medium</c:v>
                </c:pt>
              </c:strCache>
            </c:strRef>
          </c:cat>
          <c:val>
            <c:numRef>
              <c:f>'Table Insights'!$L$19:$L$22</c:f>
              <c:numCache>
                <c:formatCode>General</c:formatCode>
                <c:ptCount val="3"/>
                <c:pt idx="0">
                  <c:v>5</c:v>
                </c:pt>
                <c:pt idx="1">
                  <c:v>3</c:v>
                </c:pt>
                <c:pt idx="2">
                  <c:v>10</c:v>
                </c:pt>
              </c:numCache>
            </c:numRef>
          </c:val>
          <c:extLst>
            <c:ext xmlns:c16="http://schemas.microsoft.com/office/drawing/2014/chart" uri="{C3380CC4-5D6E-409C-BE32-E72D297353CC}">
              <c16:uniqueId val="{00000000-9CEE-4D67-8DF9-7A4A85C09377}"/>
            </c:ext>
          </c:extLst>
        </c:ser>
        <c:dLbls>
          <c:showLegendKey val="0"/>
          <c:showVal val="0"/>
          <c:showCatName val="0"/>
          <c:showSerName val="0"/>
          <c:showPercent val="0"/>
          <c:showBubbleSize val="0"/>
        </c:dLbls>
        <c:gapWidth val="219"/>
        <c:overlap val="-27"/>
        <c:axId val="1613572879"/>
        <c:axId val="1613569519"/>
      </c:barChart>
      <c:catAx>
        <c:axId val="161357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3569519"/>
        <c:crosses val="autoZero"/>
        <c:auto val="1"/>
        <c:lblAlgn val="ctr"/>
        <c:lblOffset val="100"/>
        <c:noMultiLvlLbl val="0"/>
      </c:catAx>
      <c:valAx>
        <c:axId val="161356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357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Insights!PivotTable23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'Table Insights'!$L$3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3F-4AAB-B248-B285E2DA60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3F-4AAB-B248-B285E2DA60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3F-4AAB-B248-B285E2DA6090}"/>
              </c:ext>
            </c:extLst>
          </c:dPt>
          <c:cat>
            <c:strRef>
              <c:f>'Table Insights'!$K$4:$K$7</c:f>
              <c:strCache>
                <c:ptCount val="3"/>
                <c:pt idx="0">
                  <c:v>Budget</c:v>
                </c:pt>
                <c:pt idx="1">
                  <c:v>Luxury</c:v>
                </c:pt>
                <c:pt idx="2">
                  <c:v>Mid Range</c:v>
                </c:pt>
              </c:strCache>
            </c:strRef>
          </c:cat>
          <c:val>
            <c:numRef>
              <c:f>'Table Insights'!$L$4:$L$7</c:f>
              <c:numCache>
                <c:formatCode>General</c:formatCode>
                <c:ptCount val="3"/>
                <c:pt idx="0">
                  <c:v>4</c:v>
                </c:pt>
                <c:pt idx="1">
                  <c:v>4</c:v>
                </c:pt>
                <c:pt idx="2">
                  <c:v>10</c:v>
                </c:pt>
              </c:numCache>
            </c:numRef>
          </c:val>
          <c:extLst>
            <c:ext xmlns:c16="http://schemas.microsoft.com/office/drawing/2014/chart" uri="{C3380CC4-5D6E-409C-BE32-E72D297353CC}">
              <c16:uniqueId val="{00000000-0FEB-49BE-A5B5-A2D6A82231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solidFill>
          <a:ln w="19050">
            <a:solidFill>
              <a:schemeClr val="lt1"/>
            </a:solidFill>
          </a:ln>
          <a:effectLst/>
        </c:spPr>
        <c:dLbl>
          <c:idx val="0"/>
          <c:layout>
            <c:manualLayout>
              <c:x val="4.1666666666666664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rgbClr val="FF0000"/>
          </a:solidFill>
          <a:ln w="19050">
            <a:solidFill>
              <a:schemeClr val="lt1"/>
            </a:solidFill>
          </a:ln>
          <a:effectLst/>
        </c:spPr>
        <c:dLbl>
          <c:idx val="0"/>
          <c:layout>
            <c:manualLayout>
              <c:x val="-9.722222222222222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1">
              <a:lumMod val="95000"/>
            </a:schemeClr>
          </a:solidFill>
          <a:ln w="19050">
            <a:solidFill>
              <a:schemeClr val="lt1"/>
            </a:solidFill>
          </a:ln>
          <a:effectLst/>
        </c:spPr>
      </c:pivotFmt>
      <c:pivotFmt>
        <c:idx val="5"/>
        <c:spPr>
          <a:solidFill>
            <a:srgbClr val="FFFF00"/>
          </a:solidFill>
          <a:ln w="19050">
            <a:solidFill>
              <a:schemeClr val="lt1"/>
            </a:solidFill>
          </a:ln>
          <a:effectLst/>
        </c:spPr>
      </c:pivotFmt>
    </c:pivotFmts>
    <c:plotArea>
      <c:layout/>
      <c:pieChart>
        <c:varyColors val="1"/>
        <c:ser>
          <c:idx val="0"/>
          <c:order val="0"/>
          <c:tx>
            <c:strRef>
              <c:f>'Table Insights'!$H$18</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2-7610-4B0E-8A41-1596E379776B}"/>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7610-4B0E-8A41-1596E379776B}"/>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4-7610-4B0E-8A41-1596E379776B}"/>
              </c:ext>
            </c:extLst>
          </c:dPt>
          <c:dPt>
            <c:idx val="3"/>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5-7610-4B0E-8A41-1596E379776B}"/>
              </c:ext>
            </c:extLst>
          </c:dPt>
          <c:dPt>
            <c:idx val="4"/>
            <c:bubble3D val="0"/>
            <c:spPr>
              <a:solidFill>
                <a:srgbClr val="FFFF00"/>
              </a:solidFill>
              <a:ln w="19050">
                <a:solidFill>
                  <a:schemeClr val="lt1"/>
                </a:solidFill>
              </a:ln>
              <a:effectLst/>
            </c:spPr>
            <c:extLst>
              <c:ext xmlns:c16="http://schemas.microsoft.com/office/drawing/2014/chart" uri="{C3380CC4-5D6E-409C-BE32-E72D297353CC}">
                <c16:uniqueId val="{00000007-7610-4B0E-8A41-1596E379776B}"/>
              </c:ext>
            </c:extLst>
          </c:dPt>
          <c:dLbls>
            <c:dLbl>
              <c:idx val="0"/>
              <c:layout>
                <c:manualLayout>
                  <c:x val="4.1666666666666664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610-4B0E-8A41-1596E379776B}"/>
                </c:ext>
              </c:extLst>
            </c:dLbl>
            <c:dLbl>
              <c:idx val="2"/>
              <c:layout>
                <c:manualLayout>
                  <c:x val="-9.7222222222222224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610-4B0E-8A41-1596E379776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Insights'!$G$19:$G$24</c:f>
              <c:strCache>
                <c:ptCount val="5"/>
                <c:pt idx="0">
                  <c:v>Black</c:v>
                </c:pt>
                <c:pt idx="1">
                  <c:v>Blue</c:v>
                </c:pt>
                <c:pt idx="2">
                  <c:v>Red</c:v>
                </c:pt>
                <c:pt idx="3">
                  <c:v>White</c:v>
                </c:pt>
                <c:pt idx="4">
                  <c:v>Yellow</c:v>
                </c:pt>
              </c:strCache>
            </c:strRef>
          </c:cat>
          <c:val>
            <c:numRef>
              <c:f>'Table Insights'!$H$19:$H$24</c:f>
              <c:numCache>
                <c:formatCode>General</c:formatCode>
                <c:ptCount val="5"/>
                <c:pt idx="0">
                  <c:v>4</c:v>
                </c:pt>
                <c:pt idx="1">
                  <c:v>3</c:v>
                </c:pt>
                <c:pt idx="2">
                  <c:v>4</c:v>
                </c:pt>
                <c:pt idx="3">
                  <c:v>6</c:v>
                </c:pt>
                <c:pt idx="4">
                  <c:v>1</c:v>
                </c:pt>
              </c:numCache>
            </c:numRef>
          </c:val>
          <c:extLst>
            <c:ext xmlns:c16="http://schemas.microsoft.com/office/drawing/2014/chart" uri="{C3380CC4-5D6E-409C-BE32-E72D297353CC}">
              <c16:uniqueId val="{00000000-7610-4B0E-8A41-1596E379776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Resale Price by Car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Insights'!$B$12</c:f>
              <c:strCache>
                <c:ptCount val="1"/>
                <c:pt idx="0">
                  <c:v>Total</c:v>
                </c:pt>
              </c:strCache>
            </c:strRef>
          </c:tx>
          <c:spPr>
            <a:solidFill>
              <a:schemeClr val="accent1"/>
            </a:solidFill>
            <a:ln>
              <a:noFill/>
            </a:ln>
            <a:effectLst/>
          </c:spPr>
          <c:invertIfNegative val="0"/>
          <c:cat>
            <c:strRef>
              <c:f>'Table Insights'!$A$13:$A$25</c:f>
              <c:strCache>
                <c:ptCount val="12"/>
                <c:pt idx="0">
                  <c:v>Mercedes S-Class</c:v>
                </c:pt>
                <c:pt idx="1">
                  <c:v>Tesla Model 3</c:v>
                </c:pt>
                <c:pt idx="2">
                  <c:v>BMW X3</c:v>
                </c:pt>
                <c:pt idx="3">
                  <c:v>BMW X5</c:v>
                </c:pt>
                <c:pt idx="4">
                  <c:v>Lexus RX350</c:v>
                </c:pt>
                <c:pt idx="5">
                  <c:v>BMW 428i</c:v>
                </c:pt>
                <c:pt idx="6">
                  <c:v>Cadillac XT5</c:v>
                </c:pt>
                <c:pt idx="7">
                  <c:v>Audi A3</c:v>
                </c:pt>
                <c:pt idx="8">
                  <c:v>Audi Q7</c:v>
                </c:pt>
                <c:pt idx="9">
                  <c:v>Jaguar XF</c:v>
                </c:pt>
                <c:pt idx="10">
                  <c:v>Volvo XC90</c:v>
                </c:pt>
                <c:pt idx="11">
                  <c:v>BMW 3 Series</c:v>
                </c:pt>
              </c:strCache>
            </c:strRef>
          </c:cat>
          <c:val>
            <c:numRef>
              <c:f>'Table Insights'!$B$13:$B$25</c:f>
              <c:numCache>
                <c:formatCode>[$$-409]#,##0.0</c:formatCode>
                <c:ptCount val="12"/>
                <c:pt idx="0">
                  <c:v>75843</c:v>
                </c:pt>
                <c:pt idx="1">
                  <c:v>52432</c:v>
                </c:pt>
                <c:pt idx="2">
                  <c:v>39802.5</c:v>
                </c:pt>
                <c:pt idx="3">
                  <c:v>38557.333333333336</c:v>
                </c:pt>
                <c:pt idx="4">
                  <c:v>38270.666666666664</c:v>
                </c:pt>
                <c:pt idx="5">
                  <c:v>35240</c:v>
                </c:pt>
                <c:pt idx="6">
                  <c:v>32420</c:v>
                </c:pt>
                <c:pt idx="7">
                  <c:v>24321</c:v>
                </c:pt>
                <c:pt idx="8">
                  <c:v>23250</c:v>
                </c:pt>
                <c:pt idx="9">
                  <c:v>18454</c:v>
                </c:pt>
                <c:pt idx="10">
                  <c:v>17452</c:v>
                </c:pt>
                <c:pt idx="11">
                  <c:v>13241</c:v>
                </c:pt>
              </c:numCache>
            </c:numRef>
          </c:val>
          <c:extLst>
            <c:ext xmlns:c16="http://schemas.microsoft.com/office/drawing/2014/chart" uri="{C3380CC4-5D6E-409C-BE32-E72D297353CC}">
              <c16:uniqueId val="{00000000-C9F2-4911-AAF6-2B6A4FB86EA9}"/>
            </c:ext>
          </c:extLst>
        </c:ser>
        <c:dLbls>
          <c:showLegendKey val="0"/>
          <c:showVal val="0"/>
          <c:showCatName val="0"/>
          <c:showSerName val="0"/>
          <c:showPercent val="0"/>
          <c:showBubbleSize val="0"/>
        </c:dLbls>
        <c:gapWidth val="219"/>
        <c:axId val="795776895"/>
        <c:axId val="795776415"/>
      </c:barChart>
      <c:catAx>
        <c:axId val="79577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5776415"/>
        <c:crosses val="autoZero"/>
        <c:auto val="1"/>
        <c:lblAlgn val="ctr"/>
        <c:lblOffset val="100"/>
        <c:noMultiLvlLbl val="0"/>
      </c:catAx>
      <c:valAx>
        <c:axId val="795776415"/>
        <c:scaling>
          <c:orientation val="minMax"/>
        </c:scaling>
        <c:delete val="0"/>
        <c:axPos val="b"/>
        <c:majorGridlines>
          <c:spPr>
            <a:ln w="9525" cap="flat" cmpd="sng" algn="ctr">
              <a:solidFill>
                <a:schemeClr val="tx1">
                  <a:lumMod val="15000"/>
                  <a:lumOff val="85000"/>
                </a:schemeClr>
              </a:solidFill>
              <a:round/>
            </a:ln>
            <a:effectLst/>
          </c:spPr>
        </c:majorGridlines>
        <c:numFmt formatCode="[$$-409]#,##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577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Insights!PivotTable5</c:name>
    <c:fmtId val="14"/>
  </c:pivotSource>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Resale Price by Transmission Type</a:t>
            </a:r>
            <a:endParaRPr lang="en-US"/>
          </a:p>
        </c:rich>
      </c:tx>
      <c:overlay val="0"/>
      <c:spPr>
        <a:no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Insights'!$E$12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Insights'!$D$13:$D$15</c:f>
              <c:strCache>
                <c:ptCount val="2"/>
                <c:pt idx="0">
                  <c:v>Automatic</c:v>
                </c:pt>
                <c:pt idx="1">
                  <c:v>Manual</c:v>
                </c:pt>
              </c:strCache>
            </c:strRef>
          </c:cat>
          <c:val>
            <c:numRef>
              <c:f>'Table Insights'!$E$13:$E$15</c:f>
              <c:numCache>
                <c:formatCode>[$$-409]#,##0.0</c:formatCode>
                <c:ptCount val="2"/>
                <c:pt idx="0">
                  <c:v>41559.75</c:v>
                </c:pt>
                <c:pt idx="1">
                  <c:v>29978</c:v>
                </c:pt>
              </c:numCache>
            </c:numRef>
          </c:val>
          <c:extLst>
            <c:ext xmlns:c16="http://schemas.microsoft.com/office/drawing/2014/chart" uri="{C3380CC4-5D6E-409C-BE32-E72D297353CC}">
              <c16:uniqueId val="{00000000-AF6C-4E68-B805-EE0A6D4C3429}"/>
            </c:ext>
          </c:extLst>
        </c:ser>
        <c:dLbls>
          <c:dLblPos val="outEnd"/>
          <c:showLegendKey val="0"/>
          <c:showVal val="1"/>
          <c:showCatName val="0"/>
          <c:showSerName val="0"/>
          <c:showPercent val="0"/>
          <c:showBubbleSize val="0"/>
        </c:dLbls>
        <c:gapWidth val="219"/>
        <c:overlap val="-27"/>
        <c:axId val="1599753151"/>
        <c:axId val="1599754111"/>
      </c:barChart>
      <c:catAx>
        <c:axId val="1599753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9754111"/>
        <c:crosses val="autoZero"/>
        <c:auto val="1"/>
        <c:lblAlgn val="ctr"/>
        <c:lblOffset val="100"/>
        <c:noMultiLvlLbl val="0"/>
      </c:catAx>
      <c:valAx>
        <c:axId val="1599754111"/>
        <c:scaling>
          <c:orientation val="minMax"/>
        </c:scaling>
        <c:delete val="0"/>
        <c:axPos val="l"/>
        <c:majorGridlines>
          <c:spPr>
            <a:ln w="9525" cap="flat" cmpd="sng" algn="ctr">
              <a:solidFill>
                <a:schemeClr val="tx1">
                  <a:lumMod val="15000"/>
                  <a:lumOff val="85000"/>
                </a:schemeClr>
              </a:solidFill>
              <a:round/>
            </a:ln>
            <a:effectLst/>
          </c:spPr>
        </c:majorGridlines>
        <c:numFmt formatCode="[$$-409]#,##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9975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softEdge rad="0"/>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Insights!PivotTable24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Car Listings by Mileage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Insights'!$L$18</c:f>
              <c:strCache>
                <c:ptCount val="1"/>
                <c:pt idx="0">
                  <c:v>Total</c:v>
                </c:pt>
              </c:strCache>
            </c:strRef>
          </c:tx>
          <c:spPr>
            <a:solidFill>
              <a:schemeClr val="accent1"/>
            </a:solidFill>
            <a:ln>
              <a:noFill/>
            </a:ln>
            <a:effectLst/>
          </c:spPr>
          <c:invertIfNegative val="0"/>
          <c:cat>
            <c:strRef>
              <c:f>'Table Insights'!$K$19:$K$22</c:f>
              <c:strCache>
                <c:ptCount val="3"/>
                <c:pt idx="0">
                  <c:v>High</c:v>
                </c:pt>
                <c:pt idx="1">
                  <c:v>Low</c:v>
                </c:pt>
                <c:pt idx="2">
                  <c:v>Medium</c:v>
                </c:pt>
              </c:strCache>
            </c:strRef>
          </c:cat>
          <c:val>
            <c:numRef>
              <c:f>'Table Insights'!$L$19:$L$22</c:f>
              <c:numCache>
                <c:formatCode>General</c:formatCode>
                <c:ptCount val="3"/>
                <c:pt idx="0">
                  <c:v>5</c:v>
                </c:pt>
                <c:pt idx="1">
                  <c:v>3</c:v>
                </c:pt>
                <c:pt idx="2">
                  <c:v>10</c:v>
                </c:pt>
              </c:numCache>
            </c:numRef>
          </c:val>
          <c:extLst>
            <c:ext xmlns:c16="http://schemas.microsoft.com/office/drawing/2014/chart" uri="{C3380CC4-5D6E-409C-BE32-E72D297353CC}">
              <c16:uniqueId val="{00000000-0BF5-43AC-ADF5-E093390AEC94}"/>
            </c:ext>
          </c:extLst>
        </c:ser>
        <c:dLbls>
          <c:showLegendKey val="0"/>
          <c:showVal val="0"/>
          <c:showCatName val="0"/>
          <c:showSerName val="0"/>
          <c:showPercent val="0"/>
          <c:showBubbleSize val="0"/>
        </c:dLbls>
        <c:gapWidth val="219"/>
        <c:overlap val="-27"/>
        <c:axId val="1613572879"/>
        <c:axId val="1613569519"/>
      </c:barChart>
      <c:catAx>
        <c:axId val="161357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3569519"/>
        <c:crosses val="autoZero"/>
        <c:auto val="1"/>
        <c:lblAlgn val="ctr"/>
        <c:lblOffset val="100"/>
        <c:noMultiLvlLbl val="0"/>
      </c:catAx>
      <c:valAx>
        <c:axId val="161356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357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Insights!PivotTable23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Distribution of Cars Across Price Bands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'Table Insights'!$L$3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4F-4DAC-99A1-A256E9A183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4F-4DAC-99A1-A256E9A183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4F-4DAC-99A1-A256E9A183BA}"/>
              </c:ext>
            </c:extLst>
          </c:dPt>
          <c:cat>
            <c:strRef>
              <c:f>'Table Insights'!$K$4:$K$7</c:f>
              <c:strCache>
                <c:ptCount val="3"/>
                <c:pt idx="0">
                  <c:v>Budget</c:v>
                </c:pt>
                <c:pt idx="1">
                  <c:v>Luxury</c:v>
                </c:pt>
                <c:pt idx="2">
                  <c:v>Mid Range</c:v>
                </c:pt>
              </c:strCache>
            </c:strRef>
          </c:cat>
          <c:val>
            <c:numRef>
              <c:f>'Table Insights'!$L$4:$L$7</c:f>
              <c:numCache>
                <c:formatCode>General</c:formatCode>
                <c:ptCount val="3"/>
                <c:pt idx="0">
                  <c:v>4</c:v>
                </c:pt>
                <c:pt idx="1">
                  <c:v>4</c:v>
                </c:pt>
                <c:pt idx="2">
                  <c:v>10</c:v>
                </c:pt>
              </c:numCache>
            </c:numRef>
          </c:val>
          <c:extLst>
            <c:ext xmlns:c16="http://schemas.microsoft.com/office/drawing/2014/chart" uri="{C3380CC4-5D6E-409C-BE32-E72D297353CC}">
              <c16:uniqueId val="{00000006-DB4F-4DAC-99A1-A256E9A183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[Car.xlsx]Table Insights!PivotTable8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Most Common Car Colors in the Dataset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4.1666666666666664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dLbl>
          <c:idx val="0"/>
          <c:layout>
            <c:manualLayout>
              <c:x val="-9.7222222222222224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4.1666666666666664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dLbl>
          <c:idx val="0"/>
          <c:layout>
            <c:manualLayout>
              <c:x val="-9.7222222222222224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4.1666666666666664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9.722222222222222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0.10501862069602465"/>
              <c:y val="7.23655228141926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66368525041985"/>
                  <c:h val="0.13212975793518941"/>
                </c:manualLayout>
              </c15:layout>
            </c:ext>
          </c:extLst>
        </c:dLbl>
      </c:pivotFmt>
    </c:pivotFmts>
    <c:plotArea>
      <c:layout/>
      <c:pieChart>
        <c:varyColors val="1"/>
        <c:ser>
          <c:idx val="0"/>
          <c:order val="0"/>
          <c:tx>
            <c:strRef>
              <c:f>'Table Insights'!$H$18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5F-45CC-AFE7-FF2E4AE3F5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5F-45CC-AFE7-FF2E4AE3F5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5F-45CC-AFE7-FF2E4AE3F5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5F-45CC-AFE7-FF2E4AE3F5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35F-45CC-AFE7-FF2E4AE3F5A5}"/>
              </c:ext>
            </c:extLst>
          </c:dPt>
          <c:dLbls>
            <c:dLbl>
              <c:idx val="0"/>
              <c:layout>
                <c:manualLayout>
                  <c:x val="4.1666666666666664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5F-45CC-AFE7-FF2E4AE3F5A5}"/>
                </c:ext>
              </c:extLst>
            </c:dLbl>
            <c:dLbl>
              <c:idx val="2"/>
              <c:layout>
                <c:manualLayout>
                  <c:x val="-9.7222222222222224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35F-45CC-AFE7-FF2E4AE3F5A5}"/>
                </c:ext>
              </c:extLst>
            </c:dLbl>
            <c:dLbl>
              <c:idx val="4"/>
              <c:layout>
                <c:manualLayout>
                  <c:x val="-0.10501862069602465"/>
                  <c:y val="7.23655228141926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66368525041985"/>
                      <c:h val="0.13212975793518941"/>
                    </c:manualLayout>
                  </c15:layout>
                </c:ext>
                <c:ext xmlns:c16="http://schemas.microsoft.com/office/drawing/2014/chart" uri="{C3380CC4-5D6E-409C-BE32-E72D297353CC}">
                  <c16:uniqueId val="{00000009-635F-45CC-AFE7-FF2E4AE3F5A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Insights'!$G$19:$G$24</c:f>
              <c:strCache>
                <c:ptCount val="5"/>
                <c:pt idx="0">
                  <c:v>Black</c:v>
                </c:pt>
                <c:pt idx="1">
                  <c:v>Blue</c:v>
                </c:pt>
                <c:pt idx="2">
                  <c:v>Red</c:v>
                </c:pt>
                <c:pt idx="3">
                  <c:v>White</c:v>
                </c:pt>
                <c:pt idx="4">
                  <c:v>Yellow</c:v>
                </c:pt>
              </c:strCache>
            </c:strRef>
          </c:cat>
          <c:val>
            <c:numRef>
              <c:f>'Table Insights'!$H$19:$H$24</c:f>
              <c:numCache>
                <c:formatCode>General</c:formatCode>
                <c:ptCount val="5"/>
                <c:pt idx="0">
                  <c:v>4</c:v>
                </c:pt>
                <c:pt idx="1">
                  <c:v>3</c:v>
                </c:pt>
                <c:pt idx="2">
                  <c:v>4</c:v>
                </c:pt>
                <c:pt idx="3">
                  <c:v>6</c:v>
                </c:pt>
                <c:pt idx="4">
                  <c:v>1</c:v>
                </c:pt>
              </c:numCache>
            </c:numRef>
          </c:val>
          <c:extLst>
            <c:ext xmlns:c16="http://schemas.microsoft.com/office/drawing/2014/chart" uri="{C3380CC4-5D6E-409C-BE32-E72D297353CC}">
              <c16:uniqueId val="{0000000A-635F-45CC-AFE7-FF2E4AE3F5A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562135</xdr:colOff>
      <xdr:row>53</xdr:row>
      <xdr:rowOff>826</xdr:rowOff>
    </xdr:from>
    <xdr:to>
      <xdr:col>17</xdr:col>
      <xdr:colOff>380647</xdr:colOff>
      <xdr:row>70</xdr:row>
      <xdr:rowOff>105833</xdr:rowOff>
    </xdr:to>
    <xdr:graphicFrame macro="">
      <xdr:nvGraphicFramePr>
        <xdr:cNvPr id="2" name="Chart 1">
          <a:extLst>
            <a:ext uri="{FF2B5EF4-FFF2-40B4-BE49-F238E27FC236}">
              <a16:creationId xmlns:a16="http://schemas.microsoft.com/office/drawing/2014/main" id="{40A2F808-A5E4-5F45-9461-A4473B1CA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158397</xdr:colOff>
      <xdr:row>38</xdr:row>
      <xdr:rowOff>16521</xdr:rowOff>
    </xdr:from>
    <xdr:to>
      <xdr:col>7</xdr:col>
      <xdr:colOff>595724</xdr:colOff>
      <xdr:row>52</xdr:row>
      <xdr:rowOff>92721</xdr:rowOff>
    </xdr:to>
    <xdr:graphicFrame macro="">
      <xdr:nvGraphicFramePr>
        <xdr:cNvPr id="3" name="Chart 2">
          <a:extLst>
            <a:ext uri="{FF2B5EF4-FFF2-40B4-BE49-F238E27FC236}">
              <a16:creationId xmlns:a16="http://schemas.microsoft.com/office/drawing/2014/main" id="{2AF00558-4157-C2AB-8215-DE17C6CEC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502</xdr:colOff>
      <xdr:row>40</xdr:row>
      <xdr:rowOff>25294</xdr:rowOff>
    </xdr:from>
    <xdr:to>
      <xdr:col>1</xdr:col>
      <xdr:colOff>639525</xdr:colOff>
      <xdr:row>45</xdr:row>
      <xdr:rowOff>61891</xdr:rowOff>
    </xdr:to>
    <mc:AlternateContent xmlns:mc="http://schemas.openxmlformats.org/markup-compatibility/2006">
      <mc:Choice xmlns:a14="http://schemas.microsoft.com/office/drawing/2010/main" Requires="a14">
        <xdr:graphicFrame macro="">
          <xdr:nvGraphicFramePr>
            <xdr:cNvPr id="6" name="Transimission">
              <a:extLst>
                <a:ext uri="{FF2B5EF4-FFF2-40B4-BE49-F238E27FC236}">
                  <a16:creationId xmlns:a16="http://schemas.microsoft.com/office/drawing/2014/main" id="{92C42E23-1D4D-53BC-BA18-6D47473A85A3}"/>
                </a:ext>
              </a:extLst>
            </xdr:cNvPr>
            <xdr:cNvGraphicFramePr/>
          </xdr:nvGraphicFramePr>
          <xdr:xfrm>
            <a:off x="0" y="0"/>
            <a:ext cx="0" cy="0"/>
          </xdr:xfrm>
          <a:graphic>
            <a:graphicData uri="http://schemas.microsoft.com/office/drawing/2010/slicer">
              <sle:slicer xmlns:sle="http://schemas.microsoft.com/office/drawing/2010/slicer" name="Transimission"/>
            </a:graphicData>
          </a:graphic>
        </xdr:graphicFrame>
      </mc:Choice>
      <mc:Fallback>
        <xdr:sp macro="" textlink="">
          <xdr:nvSpPr>
            <xdr:cNvPr id="0" name=""/>
            <xdr:cNvSpPr>
              <a:spLocks noTextEdit="1"/>
            </xdr:cNvSpPr>
          </xdr:nvSpPr>
          <xdr:spPr>
            <a:xfrm>
              <a:off x="502" y="7551220"/>
              <a:ext cx="1850227" cy="9773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5013</xdr:colOff>
      <xdr:row>47</xdr:row>
      <xdr:rowOff>141600</xdr:rowOff>
    </xdr:from>
    <xdr:to>
      <xdr:col>1</xdr:col>
      <xdr:colOff>634010</xdr:colOff>
      <xdr:row>55</xdr:row>
      <xdr:rowOff>74425</xdr:rowOff>
    </xdr:to>
    <mc:AlternateContent xmlns:mc="http://schemas.openxmlformats.org/markup-compatibility/2006">
      <mc:Choice xmlns:a14="http://schemas.microsoft.com/office/drawing/2010/main" Requires="a14">
        <xdr:graphicFrame macro="">
          <xdr:nvGraphicFramePr>
            <xdr:cNvPr id="7" name="Owner">
              <a:extLst>
                <a:ext uri="{FF2B5EF4-FFF2-40B4-BE49-F238E27FC236}">
                  <a16:creationId xmlns:a16="http://schemas.microsoft.com/office/drawing/2014/main" id="{67D0B388-5C9B-E1AC-4547-40A395A2AAD9}"/>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dr:sp macro="" textlink="">
          <xdr:nvSpPr>
            <xdr:cNvPr id="0" name=""/>
            <xdr:cNvSpPr>
              <a:spLocks noTextEdit="1"/>
            </xdr:cNvSpPr>
          </xdr:nvSpPr>
          <xdr:spPr>
            <a:xfrm>
              <a:off x="5013" y="8984563"/>
              <a:ext cx="1840201" cy="143801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164663</xdr:colOff>
      <xdr:row>53</xdr:row>
      <xdr:rowOff>18776</xdr:rowOff>
    </xdr:from>
    <xdr:to>
      <xdr:col>7</xdr:col>
      <xdr:colOff>316109</xdr:colOff>
      <xdr:row>67</xdr:row>
      <xdr:rowOff>130068</xdr:rowOff>
    </xdr:to>
    <xdr:graphicFrame macro="">
      <xdr:nvGraphicFramePr>
        <xdr:cNvPr id="8" name="Chart 7">
          <a:extLst>
            <a:ext uri="{FF2B5EF4-FFF2-40B4-BE49-F238E27FC236}">
              <a16:creationId xmlns:a16="http://schemas.microsoft.com/office/drawing/2014/main" id="{1D26BCE1-815B-9688-DB33-4DF78EABD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45975</xdr:colOff>
      <xdr:row>37</xdr:row>
      <xdr:rowOff>174187</xdr:rowOff>
    </xdr:from>
    <xdr:to>
      <xdr:col>22</xdr:col>
      <xdr:colOff>321074</xdr:colOff>
      <xdr:row>52</xdr:row>
      <xdr:rowOff>94978</xdr:rowOff>
    </xdr:to>
    <xdr:graphicFrame macro="">
      <xdr:nvGraphicFramePr>
        <xdr:cNvPr id="10" name="Chart 9">
          <a:extLst>
            <a:ext uri="{FF2B5EF4-FFF2-40B4-BE49-F238E27FC236}">
              <a16:creationId xmlns:a16="http://schemas.microsoft.com/office/drawing/2014/main" id="{5F89D9F9-CEF9-9723-9924-F03188131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7879</xdr:colOff>
      <xdr:row>38</xdr:row>
      <xdr:rowOff>16521</xdr:rowOff>
    </xdr:from>
    <xdr:to>
      <xdr:col>14</xdr:col>
      <xdr:colOff>472722</xdr:colOff>
      <xdr:row>52</xdr:row>
      <xdr:rowOff>92721</xdr:rowOff>
    </xdr:to>
    <xdr:graphicFrame macro="">
      <xdr:nvGraphicFramePr>
        <xdr:cNvPr id="9" name="Chart 8">
          <a:extLst>
            <a:ext uri="{FF2B5EF4-FFF2-40B4-BE49-F238E27FC236}">
              <a16:creationId xmlns:a16="http://schemas.microsoft.com/office/drawing/2014/main" id="{2CC09675-EE3E-6E68-48AF-C16F5525A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56</xdr:row>
      <xdr:rowOff>126060</xdr:rowOff>
    </xdr:from>
    <xdr:to>
      <xdr:col>1</xdr:col>
      <xdr:colOff>631002</xdr:colOff>
      <xdr:row>65</xdr:row>
      <xdr:rowOff>135584</xdr:rowOff>
    </xdr:to>
    <mc:AlternateContent xmlns:mc="http://schemas.openxmlformats.org/markup-compatibility/2006">
      <mc:Choice xmlns:a14="http://schemas.microsoft.com/office/drawing/2010/main" Requires="a14">
        <xdr:graphicFrame macro="">
          <xdr:nvGraphicFramePr>
            <xdr:cNvPr id="11" name="Color">
              <a:extLst>
                <a:ext uri="{FF2B5EF4-FFF2-40B4-BE49-F238E27FC236}">
                  <a16:creationId xmlns:a16="http://schemas.microsoft.com/office/drawing/2014/main" id="{99F79A93-4D75-C534-389A-9DFD02760B9B}"/>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dr:sp macro="" textlink="">
          <xdr:nvSpPr>
            <xdr:cNvPr id="0" name=""/>
            <xdr:cNvSpPr>
              <a:spLocks noTextEdit="1"/>
            </xdr:cNvSpPr>
          </xdr:nvSpPr>
          <xdr:spPr>
            <a:xfrm>
              <a:off x="0" y="10662356"/>
              <a:ext cx="1842206" cy="170285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19050</xdr:rowOff>
    </xdr:from>
    <xdr:to>
      <xdr:col>27</xdr:col>
      <xdr:colOff>74083</xdr:colOff>
      <xdr:row>50</xdr:row>
      <xdr:rowOff>11906</xdr:rowOff>
    </xdr:to>
    <xdr:sp macro="" textlink="">
      <xdr:nvSpPr>
        <xdr:cNvPr id="10" name="Rectangle 9">
          <a:extLst>
            <a:ext uri="{FF2B5EF4-FFF2-40B4-BE49-F238E27FC236}">
              <a16:creationId xmlns:a16="http://schemas.microsoft.com/office/drawing/2014/main" id="{7CEE68F0-4C08-EEF5-087D-DAF62FEE6E83}"/>
            </a:ext>
          </a:extLst>
        </xdr:cNvPr>
        <xdr:cNvSpPr/>
      </xdr:nvSpPr>
      <xdr:spPr>
        <a:xfrm>
          <a:off x="607219" y="209550"/>
          <a:ext cx="15861770" cy="932735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121709</xdr:colOff>
      <xdr:row>2</xdr:row>
      <xdr:rowOff>19807</xdr:rowOff>
    </xdr:from>
    <xdr:to>
      <xdr:col>21</xdr:col>
      <xdr:colOff>359834</xdr:colOff>
      <xdr:row>5</xdr:row>
      <xdr:rowOff>27215</xdr:rowOff>
    </xdr:to>
    <xdr:sp macro="" textlink="">
      <xdr:nvSpPr>
        <xdr:cNvPr id="11" name="Rectangle 10">
          <a:extLst>
            <a:ext uri="{FF2B5EF4-FFF2-40B4-BE49-F238E27FC236}">
              <a16:creationId xmlns:a16="http://schemas.microsoft.com/office/drawing/2014/main" id="{C91A5127-09F3-F792-109E-EBFB5BD4237E}"/>
            </a:ext>
          </a:extLst>
        </xdr:cNvPr>
        <xdr:cNvSpPr/>
      </xdr:nvSpPr>
      <xdr:spPr>
        <a:xfrm>
          <a:off x="3795638" y="400807"/>
          <a:ext cx="9422946" cy="578908"/>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2400"/>
            <a:t>Used Car Resale Value Analysis Dashboard</a:t>
          </a:r>
          <a:endParaRPr lang="en-NG" sz="2400"/>
        </a:p>
      </xdr:txBody>
    </xdr:sp>
    <xdr:clientData/>
  </xdr:twoCellAnchor>
  <xdr:twoCellAnchor>
    <xdr:from>
      <xdr:col>13</xdr:col>
      <xdr:colOff>433922</xdr:colOff>
      <xdr:row>29</xdr:row>
      <xdr:rowOff>74079</xdr:rowOff>
    </xdr:from>
    <xdr:to>
      <xdr:col>26</xdr:col>
      <xdr:colOff>254003</xdr:colOff>
      <xdr:row>46</xdr:row>
      <xdr:rowOff>21246</xdr:rowOff>
    </xdr:to>
    <xdr:graphicFrame macro="">
      <xdr:nvGraphicFramePr>
        <xdr:cNvPr id="12" name="Chart 11">
          <a:extLst>
            <a:ext uri="{FF2B5EF4-FFF2-40B4-BE49-F238E27FC236}">
              <a16:creationId xmlns:a16="http://schemas.microsoft.com/office/drawing/2014/main" id="{CEC1336A-241E-4B76-9F17-396C8151B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424165</xdr:colOff>
      <xdr:row>13</xdr:row>
      <xdr:rowOff>187111</xdr:rowOff>
    </xdr:from>
    <xdr:to>
      <xdr:col>13</xdr:col>
      <xdr:colOff>69985</xdr:colOff>
      <xdr:row>28</xdr:row>
      <xdr:rowOff>39885</xdr:rowOff>
    </xdr:to>
    <xdr:graphicFrame macro="">
      <xdr:nvGraphicFramePr>
        <xdr:cNvPr id="13" name="Chart 12">
          <a:extLst>
            <a:ext uri="{FF2B5EF4-FFF2-40B4-BE49-F238E27FC236}">
              <a16:creationId xmlns:a16="http://schemas.microsoft.com/office/drawing/2014/main" id="{91770401-D6B3-4A69-8E3A-16B4048FF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497933</xdr:colOff>
      <xdr:row>12</xdr:row>
      <xdr:rowOff>33946</xdr:rowOff>
    </xdr:from>
    <xdr:to>
      <xdr:col>4</xdr:col>
      <xdr:colOff>391536</xdr:colOff>
      <xdr:row>17</xdr:row>
      <xdr:rowOff>58784</xdr:rowOff>
    </xdr:to>
    <mc:AlternateContent xmlns:mc="http://schemas.openxmlformats.org/markup-compatibility/2006" xmlns:a14="http://schemas.microsoft.com/office/drawing/2010/main">
      <mc:Choice Requires="a14">
        <xdr:graphicFrame macro="">
          <xdr:nvGraphicFramePr>
            <xdr:cNvPr id="14" name="Transimission 1">
              <a:extLst>
                <a:ext uri="{FF2B5EF4-FFF2-40B4-BE49-F238E27FC236}">
                  <a16:creationId xmlns:a16="http://schemas.microsoft.com/office/drawing/2014/main" id="{A1AF7713-729E-4FA6-96E9-84F7E82590AB}"/>
                </a:ext>
              </a:extLst>
            </xdr:cNvPr>
            <xdr:cNvGraphicFramePr/>
          </xdr:nvGraphicFramePr>
          <xdr:xfrm>
            <a:off x="0" y="0"/>
            <a:ext cx="0" cy="0"/>
          </xdr:xfrm>
          <a:graphic>
            <a:graphicData uri="http://schemas.microsoft.com/office/drawing/2010/slicer">
              <sle:slicer xmlns:sle="http://schemas.microsoft.com/office/drawing/2010/slicer" name="Transimission 1"/>
            </a:graphicData>
          </a:graphic>
        </xdr:graphicFrame>
      </mc:Choice>
      <mc:Fallback xmlns="">
        <xdr:sp macro="" textlink="">
          <xdr:nvSpPr>
            <xdr:cNvPr id="0" name=""/>
            <xdr:cNvSpPr>
              <a:spLocks noTextEdit="1"/>
            </xdr:cNvSpPr>
          </xdr:nvSpPr>
          <xdr:spPr>
            <a:xfrm>
              <a:off x="1110254" y="2319946"/>
              <a:ext cx="1730568" cy="9773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502444</xdr:colOff>
      <xdr:row>19</xdr:row>
      <xdr:rowOff>133789</xdr:rowOff>
    </xdr:from>
    <xdr:to>
      <xdr:col>4</xdr:col>
      <xdr:colOff>386645</xdr:colOff>
      <xdr:row>27</xdr:row>
      <xdr:rowOff>47799</xdr:rowOff>
    </xdr:to>
    <mc:AlternateContent xmlns:mc="http://schemas.openxmlformats.org/markup-compatibility/2006" xmlns:a14="http://schemas.microsoft.com/office/drawing/2010/main">
      <mc:Choice Requires="a14">
        <xdr:graphicFrame macro="">
          <xdr:nvGraphicFramePr>
            <xdr:cNvPr id="15" name="Owner 1">
              <a:extLst>
                <a:ext uri="{FF2B5EF4-FFF2-40B4-BE49-F238E27FC236}">
                  <a16:creationId xmlns:a16="http://schemas.microsoft.com/office/drawing/2014/main" id="{80C8F918-32E8-4FC5-9C6F-D97C2961355C}"/>
                </a:ext>
              </a:extLst>
            </xdr:cNvPr>
            <xdr:cNvGraphicFramePr/>
          </xdr:nvGraphicFramePr>
          <xdr:xfrm>
            <a:off x="0" y="0"/>
            <a:ext cx="0" cy="0"/>
          </xdr:xfrm>
          <a:graphic>
            <a:graphicData uri="http://schemas.microsoft.com/office/drawing/2010/slicer">
              <sle:slicer xmlns:sle="http://schemas.microsoft.com/office/drawing/2010/slicer" name="Owner 1"/>
            </a:graphicData>
          </a:graphic>
        </xdr:graphicFrame>
      </mc:Choice>
      <mc:Fallback xmlns="">
        <xdr:sp macro="" textlink="">
          <xdr:nvSpPr>
            <xdr:cNvPr id="0" name=""/>
            <xdr:cNvSpPr>
              <a:spLocks noTextEdit="1"/>
            </xdr:cNvSpPr>
          </xdr:nvSpPr>
          <xdr:spPr>
            <a:xfrm>
              <a:off x="1114765" y="3753289"/>
              <a:ext cx="1721166" cy="143801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409265</xdr:colOff>
      <xdr:row>29</xdr:row>
      <xdr:rowOff>69421</xdr:rowOff>
    </xdr:from>
    <xdr:to>
      <xdr:col>13</xdr:col>
      <xdr:colOff>190506</xdr:colOff>
      <xdr:row>45</xdr:row>
      <xdr:rowOff>190495</xdr:rowOff>
    </xdr:to>
    <xdr:graphicFrame macro="">
      <xdr:nvGraphicFramePr>
        <xdr:cNvPr id="16" name="Chart 15">
          <a:extLst>
            <a:ext uri="{FF2B5EF4-FFF2-40B4-BE49-F238E27FC236}">
              <a16:creationId xmlns:a16="http://schemas.microsoft.com/office/drawing/2014/main" id="{F85C1E38-4ED8-4435-8CC3-751273600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426984</xdr:colOff>
      <xdr:row>13</xdr:row>
      <xdr:rowOff>179912</xdr:rowOff>
    </xdr:from>
    <xdr:to>
      <xdr:col>26</xdr:col>
      <xdr:colOff>254004</xdr:colOff>
      <xdr:row>28</xdr:row>
      <xdr:rowOff>42142</xdr:rowOff>
    </xdr:to>
    <xdr:graphicFrame macro="">
      <xdr:nvGraphicFramePr>
        <xdr:cNvPr id="17" name="Chart 16">
          <a:extLst>
            <a:ext uri="{FF2B5EF4-FFF2-40B4-BE49-F238E27FC236}">
              <a16:creationId xmlns:a16="http://schemas.microsoft.com/office/drawing/2014/main" id="{2AC88195-9F76-4A89-A017-1893F8C9F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392415</xdr:colOff>
      <xdr:row>13</xdr:row>
      <xdr:rowOff>176527</xdr:rowOff>
    </xdr:from>
    <xdr:to>
      <xdr:col>21</xdr:col>
      <xdr:colOff>137589</xdr:colOff>
      <xdr:row>28</xdr:row>
      <xdr:rowOff>126994</xdr:rowOff>
    </xdr:to>
    <xdr:graphicFrame macro="">
      <xdr:nvGraphicFramePr>
        <xdr:cNvPr id="18" name="Chart 17">
          <a:extLst>
            <a:ext uri="{FF2B5EF4-FFF2-40B4-BE49-F238E27FC236}">
              <a16:creationId xmlns:a16="http://schemas.microsoft.com/office/drawing/2014/main" id="{F6EB130A-AB02-4DA7-A120-912748C97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497431</xdr:colOff>
      <xdr:row>28</xdr:row>
      <xdr:rowOff>97082</xdr:rowOff>
    </xdr:from>
    <xdr:to>
      <xdr:col>4</xdr:col>
      <xdr:colOff>383512</xdr:colOff>
      <xdr:row>37</xdr:row>
      <xdr:rowOff>85440</xdr:rowOff>
    </xdr:to>
    <mc:AlternateContent xmlns:mc="http://schemas.openxmlformats.org/markup-compatibility/2006" xmlns:a14="http://schemas.microsoft.com/office/drawing/2010/main">
      <mc:Choice Requires="a14">
        <xdr:graphicFrame macro="">
          <xdr:nvGraphicFramePr>
            <xdr:cNvPr id="19" name="Color 1">
              <a:extLst>
                <a:ext uri="{FF2B5EF4-FFF2-40B4-BE49-F238E27FC236}">
                  <a16:creationId xmlns:a16="http://schemas.microsoft.com/office/drawing/2014/main" id="{775A3050-A855-4506-BF43-B939B882D1C7}"/>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1109752" y="5431082"/>
              <a:ext cx="1723046" cy="170285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116417</xdr:colOff>
      <xdr:row>6</xdr:row>
      <xdr:rowOff>158750</xdr:rowOff>
    </xdr:from>
    <xdr:to>
      <xdr:col>10</xdr:col>
      <xdr:colOff>0</xdr:colOff>
      <xdr:row>12</xdr:row>
      <xdr:rowOff>52917</xdr:rowOff>
    </xdr:to>
    <xdr:sp macro="" textlink="">
      <xdr:nvSpPr>
        <xdr:cNvPr id="20" name="Rectangle: Rounded Corners 19">
          <a:extLst>
            <a:ext uri="{FF2B5EF4-FFF2-40B4-BE49-F238E27FC236}">
              <a16:creationId xmlns:a16="http://schemas.microsoft.com/office/drawing/2014/main" id="{87D20099-9594-0D2E-F841-8FC673F6F0FD}"/>
            </a:ext>
          </a:extLst>
        </xdr:cNvPr>
        <xdr:cNvSpPr/>
      </xdr:nvSpPr>
      <xdr:spPr>
        <a:xfrm>
          <a:off x="3799417" y="1301750"/>
          <a:ext cx="2338916" cy="1037167"/>
        </a:xfrm>
        <a:prstGeom prst="roundRect">
          <a:avLst>
            <a:gd name="adj" fmla="val 10545"/>
          </a:avLst>
        </a:prstGeom>
        <a:solidFill>
          <a:schemeClr val="bg1"/>
        </a:solidFill>
        <a:ln>
          <a:noFill/>
        </a:ln>
        <a:effectLst>
          <a:outerShdw blurRad="101600" dist="50800" dir="5400000" algn="ctr" rotWithShape="0">
            <a:schemeClr val="tx1">
              <a:lumMod val="50000"/>
              <a:lumOff val="50000"/>
              <a:alpha val="9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42334</xdr:colOff>
      <xdr:row>7</xdr:row>
      <xdr:rowOff>158750</xdr:rowOff>
    </xdr:from>
    <xdr:to>
      <xdr:col>9</xdr:col>
      <xdr:colOff>105833</xdr:colOff>
      <xdr:row>11</xdr:row>
      <xdr:rowOff>63500</xdr:rowOff>
    </xdr:to>
    <xdr:sp macro="" textlink="">
      <xdr:nvSpPr>
        <xdr:cNvPr id="21" name="TextBox 20">
          <a:extLst>
            <a:ext uri="{FF2B5EF4-FFF2-40B4-BE49-F238E27FC236}">
              <a16:creationId xmlns:a16="http://schemas.microsoft.com/office/drawing/2014/main" id="{95E57BFF-E4FE-9816-7883-612775A92F6B}"/>
            </a:ext>
          </a:extLst>
        </xdr:cNvPr>
        <xdr:cNvSpPr txBox="1"/>
      </xdr:nvSpPr>
      <xdr:spPr>
        <a:xfrm>
          <a:off x="4339167" y="1492250"/>
          <a:ext cx="1291166"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Avg Price</a:t>
          </a:r>
        </a:p>
        <a:p>
          <a:pPr algn="ctr"/>
          <a:r>
            <a:rPr lang="en-US" sz="1800" b="1">
              <a:solidFill>
                <a:schemeClr val="accent6"/>
              </a:solidFill>
            </a:rPr>
            <a:t>$37.7k</a:t>
          </a:r>
          <a:endParaRPr lang="en-NG" sz="1800" b="1">
            <a:solidFill>
              <a:schemeClr val="accent6"/>
            </a:solidFill>
          </a:endParaRPr>
        </a:p>
      </xdr:txBody>
    </xdr:sp>
    <xdr:clientData/>
  </xdr:twoCellAnchor>
  <xdr:twoCellAnchor>
    <xdr:from>
      <xdr:col>12</xdr:col>
      <xdr:colOff>120650</xdr:colOff>
      <xdr:row>6</xdr:row>
      <xdr:rowOff>173566</xdr:rowOff>
    </xdr:from>
    <xdr:to>
      <xdr:col>16</xdr:col>
      <xdr:colOff>4233</xdr:colOff>
      <xdr:row>12</xdr:row>
      <xdr:rowOff>67733</xdr:rowOff>
    </xdr:to>
    <xdr:sp macro="" textlink="">
      <xdr:nvSpPr>
        <xdr:cNvPr id="22" name="Rectangle: Rounded Corners 21">
          <a:extLst>
            <a:ext uri="{FF2B5EF4-FFF2-40B4-BE49-F238E27FC236}">
              <a16:creationId xmlns:a16="http://schemas.microsoft.com/office/drawing/2014/main" id="{E6E45E61-8C1F-4C2D-8386-49A624DF88A3}"/>
            </a:ext>
          </a:extLst>
        </xdr:cNvPr>
        <xdr:cNvSpPr/>
      </xdr:nvSpPr>
      <xdr:spPr>
        <a:xfrm>
          <a:off x="7486650" y="1316566"/>
          <a:ext cx="2338916" cy="1037167"/>
        </a:xfrm>
        <a:prstGeom prst="roundRect">
          <a:avLst>
            <a:gd name="adj" fmla="val 10545"/>
          </a:avLst>
        </a:prstGeom>
        <a:solidFill>
          <a:schemeClr val="bg1"/>
        </a:solidFill>
        <a:ln>
          <a:noFill/>
        </a:ln>
        <a:effectLst>
          <a:outerShdw blurRad="101600" dist="50800" dir="5400000" algn="ctr" rotWithShape="0">
            <a:schemeClr val="tx1">
              <a:lumMod val="50000"/>
              <a:lumOff val="50000"/>
              <a:alpha val="9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560916</xdr:colOff>
      <xdr:row>7</xdr:row>
      <xdr:rowOff>152399</xdr:rowOff>
    </xdr:from>
    <xdr:to>
      <xdr:col>15</xdr:col>
      <xdr:colOff>205316</xdr:colOff>
      <xdr:row>11</xdr:row>
      <xdr:rowOff>57149</xdr:rowOff>
    </xdr:to>
    <xdr:sp macro="" textlink="">
      <xdr:nvSpPr>
        <xdr:cNvPr id="23" name="TextBox 22">
          <a:extLst>
            <a:ext uri="{FF2B5EF4-FFF2-40B4-BE49-F238E27FC236}">
              <a16:creationId xmlns:a16="http://schemas.microsoft.com/office/drawing/2014/main" id="{12F1D7D0-3E40-487B-9B6C-FC20DC536CBD}"/>
            </a:ext>
          </a:extLst>
        </xdr:cNvPr>
        <xdr:cNvSpPr txBox="1"/>
      </xdr:nvSpPr>
      <xdr:spPr>
        <a:xfrm>
          <a:off x="7926916" y="1485899"/>
          <a:ext cx="1485900"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Highest Price</a:t>
          </a:r>
        </a:p>
        <a:p>
          <a:pPr algn="ctr"/>
          <a:r>
            <a:rPr lang="en-US" sz="1800" b="1">
              <a:solidFill>
                <a:schemeClr val="accent6"/>
              </a:solidFill>
            </a:rPr>
            <a:t>$102k</a:t>
          </a:r>
          <a:endParaRPr lang="en-NG" sz="1800" b="1">
            <a:solidFill>
              <a:schemeClr val="accent6"/>
            </a:solidFill>
          </a:endParaRPr>
        </a:p>
      </xdr:txBody>
    </xdr:sp>
    <xdr:clientData/>
  </xdr:twoCellAnchor>
  <xdr:twoCellAnchor>
    <xdr:from>
      <xdr:col>18</xdr:col>
      <xdr:colOff>241300</xdr:colOff>
      <xdr:row>7</xdr:row>
      <xdr:rowOff>8466</xdr:rowOff>
    </xdr:from>
    <xdr:to>
      <xdr:col>22</xdr:col>
      <xdr:colOff>124883</xdr:colOff>
      <xdr:row>12</xdr:row>
      <xdr:rowOff>93133</xdr:rowOff>
    </xdr:to>
    <xdr:sp macro="" textlink="">
      <xdr:nvSpPr>
        <xdr:cNvPr id="24" name="Rectangle: Rounded Corners 23">
          <a:extLst>
            <a:ext uri="{FF2B5EF4-FFF2-40B4-BE49-F238E27FC236}">
              <a16:creationId xmlns:a16="http://schemas.microsoft.com/office/drawing/2014/main" id="{B3FEDF31-D11D-4323-B039-F50D407D6923}"/>
            </a:ext>
          </a:extLst>
        </xdr:cNvPr>
        <xdr:cNvSpPr/>
      </xdr:nvSpPr>
      <xdr:spPr>
        <a:xfrm>
          <a:off x="11290300" y="1341966"/>
          <a:ext cx="2338916" cy="1037167"/>
        </a:xfrm>
        <a:prstGeom prst="roundRect">
          <a:avLst>
            <a:gd name="adj" fmla="val 10545"/>
          </a:avLst>
        </a:prstGeom>
        <a:solidFill>
          <a:schemeClr val="bg1"/>
        </a:solidFill>
        <a:ln>
          <a:noFill/>
        </a:ln>
        <a:effectLst>
          <a:outerShdw blurRad="101600" dist="50800" dir="5400000" algn="ctr" rotWithShape="0">
            <a:schemeClr val="tx1">
              <a:lumMod val="50000"/>
              <a:lumOff val="50000"/>
              <a:alpha val="9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67733</xdr:colOff>
      <xdr:row>7</xdr:row>
      <xdr:rowOff>177799</xdr:rowOff>
    </xdr:from>
    <xdr:to>
      <xdr:col>21</xdr:col>
      <xdr:colOff>325966</xdr:colOff>
      <xdr:row>11</xdr:row>
      <xdr:rowOff>82549</xdr:rowOff>
    </xdr:to>
    <xdr:sp macro="" textlink="">
      <xdr:nvSpPr>
        <xdr:cNvPr id="25" name="TextBox 24">
          <a:extLst>
            <a:ext uri="{FF2B5EF4-FFF2-40B4-BE49-F238E27FC236}">
              <a16:creationId xmlns:a16="http://schemas.microsoft.com/office/drawing/2014/main" id="{B592F0DF-A327-44F0-A331-11BCCC55FDBE}"/>
            </a:ext>
          </a:extLst>
        </xdr:cNvPr>
        <xdr:cNvSpPr txBox="1"/>
      </xdr:nvSpPr>
      <xdr:spPr>
        <a:xfrm>
          <a:off x="11730566" y="1511299"/>
          <a:ext cx="1485900"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Total Listings</a:t>
          </a:r>
        </a:p>
        <a:p>
          <a:pPr algn="ctr"/>
          <a:r>
            <a:rPr lang="en-US" sz="1800" b="1">
              <a:solidFill>
                <a:schemeClr val="accent6"/>
              </a:solidFill>
            </a:rPr>
            <a:t>18</a:t>
          </a:r>
          <a:endParaRPr lang="en-NG" sz="1800" b="1">
            <a:solidFill>
              <a:schemeClr val="accent6"/>
            </a:solidFill>
          </a:endParaRPr>
        </a:p>
      </xdr:txBody>
    </xdr:sp>
    <xdr:clientData/>
  </xdr:twoCellAnchor>
  <xdr:twoCellAnchor>
    <xdr:from>
      <xdr:col>22</xdr:col>
      <xdr:colOff>476249</xdr:colOff>
      <xdr:row>48</xdr:row>
      <xdr:rowOff>23812</xdr:rowOff>
    </xdr:from>
    <xdr:to>
      <xdr:col>26</xdr:col>
      <xdr:colOff>476249</xdr:colOff>
      <xdr:row>49</xdr:row>
      <xdr:rowOff>71437</xdr:rowOff>
    </xdr:to>
    <xdr:sp macro="" textlink="">
      <xdr:nvSpPr>
        <xdr:cNvPr id="26" name="TextBox 25">
          <a:extLst>
            <a:ext uri="{FF2B5EF4-FFF2-40B4-BE49-F238E27FC236}">
              <a16:creationId xmlns:a16="http://schemas.microsoft.com/office/drawing/2014/main" id="{D3998387-FABF-89E4-9C42-B4D21FF1DA77}"/>
            </a:ext>
          </a:extLst>
        </xdr:cNvPr>
        <xdr:cNvSpPr txBox="1"/>
      </xdr:nvSpPr>
      <xdr:spPr>
        <a:xfrm>
          <a:off x="13835062" y="9167812"/>
          <a:ext cx="2428875"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Last Updated: Feb 2026</a:t>
          </a:r>
          <a:endParaRPr lang="en-NG" sz="1400" b="1"/>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adir Shonibare" refreshedDate="46060.689047337961" backgroundQuery="1" createdVersion="8" refreshedVersion="8" minRefreshableVersion="3" recordCount="0" supportSubquery="1" supportAdvancedDrill="1" xr:uid="{D9C782DB-898C-4430-9FB6-7AC3F6917B86}">
  <cacheSource type="external" connectionId="1"/>
  <cacheFields count="2">
    <cacheField name="[Table3].[Transimission].[Transimission]" caption="Transimission" numFmtId="0" hierarchy="4" level="1">
      <sharedItems count="2">
        <s v="Automatic"/>
        <s v="Manual"/>
      </sharedItems>
    </cacheField>
    <cacheField name="[Measures].[Sum of Price (USD)]" caption="Sum of Price (USD)" numFmtId="0" hierarchy="12" level="32767"/>
  </cacheFields>
  <cacheHierarchies count="14">
    <cacheHierarchy uniqueName="[Table3].[Car]" caption="Car" attribute="1" defaultMemberUniqueName="[Table3].[Car].[All]" allUniqueName="[Table3].[Car].[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KM Driven]" caption="KM Driven" attribute="1" defaultMemberUniqueName="[Table3].[KM Driven].[All]" allUniqueName="[Table3].[KM Driven].[All]" dimensionUniqueName="[Table3]" displayFolder="" count="0" memberValueDatatype="20" unbalanced="0"/>
    <cacheHierarchy uniqueName="[Table3].[Color]" caption="Color" attribute="1" defaultMemberUniqueName="[Table3].[Color].[All]" allUniqueName="[Table3].[Color].[All]" dimensionUniqueName="[Table3]" displayFolder="" count="0" memberValueDatatype="130" unbalanced="0"/>
    <cacheHierarchy uniqueName="[Table3].[Transimission]" caption="Transimission" attribute="1" defaultMemberUniqueName="[Table3].[Transimission].[All]" allUniqueName="[Table3].[Transimission].[All]" dimensionUniqueName="[Table3]" displayFolder="" count="2" memberValueDatatype="130" unbalanced="0">
      <fieldsUsage count="2">
        <fieldUsage x="-1"/>
        <fieldUsage x="0"/>
      </fieldsUsage>
    </cacheHierarchy>
    <cacheHierarchy uniqueName="[Table3].[Owner]" caption="Owner" attribute="1" defaultMemberUniqueName="[Table3].[Owner].[All]" allUniqueName="[Table3].[Owner].[All]" dimensionUniqueName="[Table3]" displayFolder="" count="0" memberValueDatatype="130" unbalanced="0"/>
    <cacheHierarchy uniqueName="[Table3].[Price (USD)]" caption="Price (USD)" attribute="1" defaultMemberUniqueName="[Table3].[Price (USD)].[All]" allUniqueName="[Table3].[Price (USD)].[All]" dimensionUniqueName="[Table3]" displayFolder="" count="0" memberValueDatatype="20" unbalanced="0"/>
    <cacheHierarchy uniqueName="[Table3].[Car Age]" caption="Car Age" attribute="1" defaultMemberUniqueName="[Table3].[Car Age].[All]" allUniqueName="[Table3].[Car Age].[All]" dimensionUniqueName="[Table3]" displayFolder="" count="0" memberValueDatatype="20" unbalanced="0"/>
    <cacheHierarchy uniqueName="[Table3].[Price Band]" caption="Price Band" attribute="1" defaultMemberUniqueName="[Table3].[Price Band].[All]" allUniqueName="[Table3].[Price Band].[All]" dimensionUniqueName="[Table3]" displayFolder="" count="0" memberValueDatatype="130" unbalanced="0"/>
    <cacheHierarchy uniqueName="[Table3].[Milage Group]" caption="Milage Group" attribute="1" defaultMemberUniqueName="[Table3].[Milage Group].[All]" allUniqueName="[Table3].[Milage Group].[All]" dimensionUniqueName="[Table3]" displayFolder="" count="0" memberValueDatatype="130" unbalanced="0"/>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Price (USD)]" caption="Sum of Price (USD)" measure="1" displayFolder="" measureGroup="Table3"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Price (USD)]" caption="Average of Price (USD)" measure="1" displayFolder="" measureGroup="Table3"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adir Shonibare" refreshedDate="46061.599250231484" createdVersion="8" refreshedVersion="8" minRefreshableVersion="3" recordCount="18" xr:uid="{DB742C60-EF82-4F8E-9353-FFA2FBFB6063}">
  <cacheSource type="worksheet">
    <worksheetSource name="Table3"/>
  </cacheSource>
  <cacheFields count="10">
    <cacheField name="Car" numFmtId="0">
      <sharedItems count="12">
        <s v="BMW X5"/>
        <s v="Audi A3"/>
        <s v="Mercedes S-Class"/>
        <s v="BMW X3"/>
        <s v="Lexus RX350"/>
        <s v="BMW 3 Series"/>
        <s v="Tesla Model 3"/>
        <s v="Volvo XC90"/>
        <s v="Audi Q7"/>
        <s v="Cadillac XT5"/>
        <s v="Jaguar XF"/>
        <s v="BMW 428i"/>
      </sharedItems>
    </cacheField>
    <cacheField name="Year" numFmtId="0">
      <sharedItems containsSemiMixedTypes="0" containsString="0" containsNumber="1" containsInteger="1" minValue="2011" maxValue="2021"/>
    </cacheField>
    <cacheField name="KM Driven" numFmtId="0">
      <sharedItems containsSemiMixedTypes="0" containsString="0" containsNumber="1" containsInteger="1" minValue="5000" maxValue="342358"/>
    </cacheField>
    <cacheField name="Color" numFmtId="0">
      <sharedItems count="7">
        <s v="White"/>
        <s v="Red"/>
        <s v="Black"/>
        <s v="Blue"/>
        <s v="Yellow"/>
        <s v="Blue " u="1"/>
        <s v=" Black" u="1"/>
      </sharedItems>
    </cacheField>
    <cacheField name="Transimission" numFmtId="0">
      <sharedItems count="2">
        <s v="Automatic"/>
        <s v="Manual"/>
      </sharedItems>
    </cacheField>
    <cacheField name="Owner" numFmtId="0">
      <sharedItems count="4">
        <s v="1st owner"/>
        <s v="2nd owner"/>
        <s v="3rd owner"/>
        <s v="4th owner"/>
      </sharedItems>
    </cacheField>
    <cacheField name="Price (USD)" numFmtId="164">
      <sharedItems containsSemiMixedTypes="0" containsString="0" containsNumber="1" containsInteger="1" minValue="13241" maxValue="102342"/>
    </cacheField>
    <cacheField name="Car Age" numFmtId="0">
      <sharedItems containsSemiMixedTypes="0" containsString="0" containsNumber="1" containsInteger="1" minValue="5" maxValue="15" count="11">
        <n v="14"/>
        <n v="9"/>
        <n v="6"/>
        <n v="5"/>
        <n v="8"/>
        <n v="7"/>
        <n v="15"/>
        <n v="12"/>
        <n v="13"/>
        <n v="10"/>
        <n v="11"/>
      </sharedItems>
    </cacheField>
    <cacheField name="Price Band" numFmtId="0">
      <sharedItems count="3">
        <s v="Budget"/>
        <s v="Mid Range"/>
        <s v="Luxury"/>
      </sharedItems>
    </cacheField>
    <cacheField name="Milage Group" numFmtId="0">
      <sharedItems count="3">
        <s v="High"/>
        <s v="Medium"/>
        <s v="Low"/>
      </sharedItems>
    </cacheField>
  </cacheFields>
  <extLst>
    <ext xmlns:x14="http://schemas.microsoft.com/office/spreadsheetml/2009/9/main" uri="{725AE2AE-9491-48be-B2B4-4EB974FC3084}">
      <x14:pivotCacheDefinition pivotCacheId="1807483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n v="2012"/>
    <n v="342358"/>
    <x v="0"/>
    <x v="0"/>
    <x v="0"/>
    <n v="15400"/>
    <x v="0"/>
    <x v="0"/>
    <x v="0"/>
  </r>
  <r>
    <x v="1"/>
    <n v="2017"/>
    <n v="130000"/>
    <x v="1"/>
    <x v="1"/>
    <x v="1"/>
    <n v="24321"/>
    <x v="1"/>
    <x v="1"/>
    <x v="1"/>
  </r>
  <r>
    <x v="2"/>
    <n v="2020"/>
    <n v="92450"/>
    <x v="2"/>
    <x v="0"/>
    <x v="2"/>
    <n v="102342"/>
    <x v="2"/>
    <x v="2"/>
    <x v="1"/>
  </r>
  <r>
    <x v="0"/>
    <n v="2020"/>
    <n v="76240"/>
    <x v="0"/>
    <x v="0"/>
    <x v="1"/>
    <n v="55272"/>
    <x v="2"/>
    <x v="2"/>
    <x v="1"/>
  </r>
  <r>
    <x v="3"/>
    <n v="2021"/>
    <n v="17283"/>
    <x v="0"/>
    <x v="1"/>
    <x v="0"/>
    <n v="42000"/>
    <x v="3"/>
    <x v="1"/>
    <x v="2"/>
  </r>
  <r>
    <x v="4"/>
    <n v="2020"/>
    <n v="98312"/>
    <x v="1"/>
    <x v="0"/>
    <x v="2"/>
    <n v="51292"/>
    <x v="2"/>
    <x v="2"/>
    <x v="1"/>
  </r>
  <r>
    <x v="3"/>
    <n v="2018"/>
    <n v="156784"/>
    <x v="3"/>
    <x v="1"/>
    <x v="2"/>
    <n v="37605"/>
    <x v="4"/>
    <x v="1"/>
    <x v="0"/>
  </r>
  <r>
    <x v="0"/>
    <n v="2019"/>
    <n v="52034"/>
    <x v="3"/>
    <x v="0"/>
    <x v="0"/>
    <n v="45000"/>
    <x v="5"/>
    <x v="1"/>
    <x v="1"/>
  </r>
  <r>
    <x v="5"/>
    <n v="2011"/>
    <n v="205204"/>
    <x v="1"/>
    <x v="0"/>
    <x v="1"/>
    <n v="13241"/>
    <x v="6"/>
    <x v="0"/>
    <x v="0"/>
  </r>
  <r>
    <x v="2"/>
    <n v="2014"/>
    <n v="152985"/>
    <x v="2"/>
    <x v="0"/>
    <x v="1"/>
    <n v="49344"/>
    <x v="7"/>
    <x v="1"/>
    <x v="0"/>
  </r>
  <r>
    <x v="6"/>
    <n v="2018"/>
    <n v="76429"/>
    <x v="4"/>
    <x v="0"/>
    <x v="0"/>
    <n v="52432"/>
    <x v="4"/>
    <x v="2"/>
    <x v="1"/>
  </r>
  <r>
    <x v="7"/>
    <n v="2013"/>
    <n v="254028"/>
    <x v="2"/>
    <x v="1"/>
    <x v="1"/>
    <n v="17452"/>
    <x v="8"/>
    <x v="0"/>
    <x v="0"/>
  </r>
  <r>
    <x v="8"/>
    <n v="2014"/>
    <n v="45832"/>
    <x v="0"/>
    <x v="1"/>
    <x v="0"/>
    <n v="23250"/>
    <x v="7"/>
    <x v="1"/>
    <x v="2"/>
  </r>
  <r>
    <x v="9"/>
    <n v="2018"/>
    <n v="67591"/>
    <x v="3"/>
    <x v="0"/>
    <x v="1"/>
    <n v="32420"/>
    <x v="4"/>
    <x v="1"/>
    <x v="1"/>
  </r>
  <r>
    <x v="10"/>
    <n v="2013"/>
    <n v="85320"/>
    <x v="0"/>
    <x v="0"/>
    <x v="1"/>
    <n v="18454"/>
    <x v="8"/>
    <x v="0"/>
    <x v="1"/>
  </r>
  <r>
    <x v="4"/>
    <n v="2016"/>
    <n v="5000"/>
    <x v="0"/>
    <x v="0"/>
    <x v="0"/>
    <n v="41000"/>
    <x v="9"/>
    <x v="1"/>
    <x v="2"/>
  </r>
  <r>
    <x v="11"/>
    <n v="2017"/>
    <n v="92450"/>
    <x v="1"/>
    <x v="1"/>
    <x v="1"/>
    <n v="35240"/>
    <x v="1"/>
    <x v="1"/>
    <x v="1"/>
  </r>
  <r>
    <x v="4"/>
    <n v="2015"/>
    <n v="130000"/>
    <x v="2"/>
    <x v="0"/>
    <x v="3"/>
    <n v="22520"/>
    <x v="1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8C3AF1-37DF-439B-80F7-F11871D8E858}"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7" firstHeaderRow="1" firstDataRow="1" firstDataCol="1"/>
  <pivotFields count="10">
    <pivotField dataField="1" showAll="0"/>
    <pivotField showAll="0"/>
    <pivotField showAll="0"/>
    <pivotField showAll="0"/>
    <pivotField showAll="0"/>
    <pivotField showAll="0"/>
    <pivotField numFmtId="164" showAll="0"/>
    <pivotField showAll="0"/>
    <pivotField axis="axisRow" showAll="0">
      <items count="4">
        <item x="0"/>
        <item x="2"/>
        <item x="1"/>
        <item t="default"/>
      </items>
    </pivotField>
    <pivotField showAll="0"/>
  </pivotFields>
  <rowFields count="1">
    <field x="8"/>
  </rowFields>
  <rowItems count="4">
    <i>
      <x/>
    </i>
    <i>
      <x v="1"/>
    </i>
    <i>
      <x v="2"/>
    </i>
    <i t="grand">
      <x/>
    </i>
  </rowItems>
  <colItems count="1">
    <i/>
  </colItems>
  <dataFields count="1">
    <dataField name="Count of Car"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8" count="1" selected="0">
            <x v="0"/>
          </reference>
        </references>
      </pivotArea>
    </chartFormat>
    <chartFormat chart="9" format="10">
      <pivotArea type="data" outline="0" fieldPosition="0">
        <references count="2">
          <reference field="4294967294" count="1" selected="0">
            <x v="0"/>
          </reference>
          <reference field="8" count="1" selected="0">
            <x v="1"/>
          </reference>
        </references>
      </pivotArea>
    </chartFormat>
    <chartFormat chart="9"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213781-9A29-4259-906C-E5A4084ADC10}"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 (USD)" fld="1" baseField="0" baseItem="0"/>
  </dataFields>
  <formats count="3">
    <format dxfId="2">
      <pivotArea collapsedLevelsAreSubtotals="1" fieldPosition="0">
        <references count="1">
          <reference field="0" count="1">
            <x v="0"/>
          </reference>
        </references>
      </pivotArea>
    </format>
    <format dxfId="1">
      <pivotArea collapsedLevelsAreSubtotals="1" fieldPosition="0">
        <references count="1">
          <reference field="0" count="1">
            <x v="1"/>
          </reference>
        </references>
      </pivotArea>
    </format>
    <format dxfId="0">
      <pivotArea grandRow="1" outline="0" collapsedLevelsAreSubtotals="1" fieldPosition="0"/>
    </format>
  </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r.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0A8C5-45DB-440F-9FD7-AACA8A77EEE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5" firstHeaderRow="1" firstDataRow="1" firstDataCol="1"/>
  <pivotFields count="10">
    <pivotField showAll="0"/>
    <pivotField showAll="0"/>
    <pivotField showAll="0"/>
    <pivotField showAll="0"/>
    <pivotField showAll="0"/>
    <pivotField showAll="0"/>
    <pivotField dataField="1" numFmtId="164" showAll="0"/>
    <pivotField axis="axisRow" showAll="0">
      <items count="12">
        <item x="3"/>
        <item x="2"/>
        <item x="5"/>
        <item x="4"/>
        <item x="1"/>
        <item x="9"/>
        <item x="10"/>
        <item x="7"/>
        <item x="8"/>
        <item x="0"/>
        <item x="6"/>
        <item t="default"/>
      </items>
    </pivotField>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Average of Price (USD)" fld="6" subtotal="average" baseField="7"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B7D38-C2AF-4DBE-A3A3-2FBA850E534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2:E15" firstHeaderRow="1" firstDataRow="1" firstDataCol="1"/>
  <pivotFields count="10">
    <pivotField showAll="0"/>
    <pivotField showAll="0"/>
    <pivotField showAll="0"/>
    <pivotField showAll="0"/>
    <pivotField axis="axisRow" showAll="0">
      <items count="3">
        <item x="0"/>
        <item x="1"/>
        <item t="default"/>
      </items>
    </pivotField>
    <pivotField showAll="0"/>
    <pivotField dataField="1" numFmtId="164" showAll="0"/>
    <pivotField showAll="0"/>
    <pivotField showAll="0"/>
    <pivotField showAll="0"/>
  </pivotFields>
  <rowFields count="1">
    <field x="4"/>
  </rowFields>
  <rowItems count="3">
    <i>
      <x/>
    </i>
    <i>
      <x v="1"/>
    </i>
    <i t="grand">
      <x/>
    </i>
  </rowItems>
  <colItems count="1">
    <i/>
  </colItems>
  <dataFields count="1">
    <dataField name="Average of Price (USD)" fld="6" subtotal="average" baseField="4" baseItem="0" numFmtId="164"/>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4A13D4-B23B-47D5-A29B-F030936F42E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8" firstHeaderRow="1" firstDataRow="1" firstDataCol="1"/>
  <pivotFields count="10">
    <pivotField showAll="0"/>
    <pivotField showAll="0"/>
    <pivotField showAll="0"/>
    <pivotField showAll="0"/>
    <pivotField showAll="0"/>
    <pivotField axis="axisRow" showAll="0">
      <items count="5">
        <item x="0"/>
        <item x="1"/>
        <item x="2"/>
        <item x="3"/>
        <item t="default"/>
      </items>
    </pivotField>
    <pivotField dataField="1" numFmtId="164" showAll="0"/>
    <pivotField showAll="0"/>
    <pivotField showAll="0"/>
    <pivotField showAll="0"/>
  </pivotFields>
  <rowFields count="1">
    <field x="5"/>
  </rowFields>
  <rowItems count="5">
    <i>
      <x/>
    </i>
    <i>
      <x v="1"/>
    </i>
    <i>
      <x v="2"/>
    </i>
    <i>
      <x v="3"/>
    </i>
    <i t="grand">
      <x/>
    </i>
  </rowItems>
  <colItems count="1">
    <i/>
  </colItems>
  <dataFields count="1">
    <dataField name="Sum of Price (USD)" fld="6" baseField="5" baseItem="0" numFmtId="164"/>
  </dataFields>
  <formats count="1">
    <format dxfId="3">
      <pivotArea collapsedLevelsAreSubtotals="1" fieldPosition="0">
        <references count="1">
          <reference field="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DB1885-85E1-4A17-9990-A87AD758B06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E23" firstHeaderRow="1" firstDataRow="1" firstDataCol="1"/>
  <pivotFields count="10">
    <pivotField showAll="0"/>
    <pivotField showAll="0"/>
    <pivotField showAll="0"/>
    <pivotField showAll="0"/>
    <pivotField showAll="0"/>
    <pivotField axis="axisRow" showAll="0">
      <items count="5">
        <item x="0"/>
        <item x="1"/>
        <item x="2"/>
        <item x="3"/>
        <item t="default"/>
      </items>
    </pivotField>
    <pivotField dataField="1" numFmtId="164" showAll="0"/>
    <pivotField showAll="0"/>
    <pivotField showAll="0"/>
    <pivotField showAll="0"/>
  </pivotFields>
  <rowFields count="1">
    <field x="5"/>
  </rowFields>
  <rowItems count="5">
    <i>
      <x/>
    </i>
    <i>
      <x v="1"/>
    </i>
    <i>
      <x v="2"/>
    </i>
    <i>
      <x v="3"/>
    </i>
    <i t="grand">
      <x/>
    </i>
  </rowItems>
  <colItems count="1">
    <i/>
  </colItems>
  <dataFields count="1">
    <dataField name="Average of Price (USD)" fld="6"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E0265D-DB61-4365-8C39-2C399E28DB9F}"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8:L22" firstHeaderRow="1" firstDataRow="1" firstDataCol="1"/>
  <pivotFields count="10">
    <pivotField dataField="1" showAll="0"/>
    <pivotField showAll="0"/>
    <pivotField showAll="0"/>
    <pivotField showAll="0"/>
    <pivotField showAll="0"/>
    <pivotField showAll="0"/>
    <pivotField numFmtId="164" showAll="0"/>
    <pivotField showAll="0"/>
    <pivotField showAll="0"/>
    <pivotField axis="axisRow" showAll="0">
      <items count="4">
        <item x="0"/>
        <item x="2"/>
        <item x="1"/>
        <item t="default"/>
      </items>
    </pivotField>
  </pivotFields>
  <rowFields count="1">
    <field x="9"/>
  </rowFields>
  <rowItems count="4">
    <i>
      <x/>
    </i>
    <i>
      <x v="1"/>
    </i>
    <i>
      <x v="2"/>
    </i>
    <i t="grand">
      <x/>
    </i>
  </rowItems>
  <colItems count="1">
    <i/>
  </colItems>
  <dataFields count="1">
    <dataField name="Count of Car"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D7DD0C-B54F-4D4C-9536-BB345E605AB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8:H24" firstHeaderRow="1" firstDataRow="1" firstDataCol="1"/>
  <pivotFields count="10">
    <pivotField dataField="1" showAll="0" countASubtotal="1">
      <items count="13">
        <item x="1"/>
        <item x="8"/>
        <item x="5"/>
        <item x="11"/>
        <item x="3"/>
        <item x="0"/>
        <item x="9"/>
        <item x="10"/>
        <item x="4"/>
        <item x="2"/>
        <item x="6"/>
        <item x="7"/>
        <item t="countA"/>
      </items>
    </pivotField>
    <pivotField showAll="0"/>
    <pivotField showAll="0"/>
    <pivotField axis="axisRow" showAll="0">
      <items count="8">
        <item m="1" x="6"/>
        <item x="2"/>
        <item x="3"/>
        <item m="1" x="5"/>
        <item x="1"/>
        <item x="0"/>
        <item x="4"/>
        <item t="default"/>
      </items>
    </pivotField>
    <pivotField showAll="0"/>
    <pivotField showAll="0"/>
    <pivotField numFmtId="164" showAll="0"/>
    <pivotField showAll="0"/>
    <pivotField showAll="0"/>
    <pivotField showAll="0"/>
  </pivotFields>
  <rowFields count="1">
    <field x="3"/>
  </rowFields>
  <rowItems count="6">
    <i>
      <x v="1"/>
    </i>
    <i>
      <x v="2"/>
    </i>
    <i>
      <x v="4"/>
    </i>
    <i>
      <x v="5"/>
    </i>
    <i>
      <x v="6"/>
    </i>
    <i t="grand">
      <x/>
    </i>
  </rowItems>
  <colItems count="1">
    <i/>
  </colItems>
  <dataFields count="1">
    <dataField name="Count of Car" fld="0"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
          </reference>
        </references>
      </pivotArea>
    </chartFormat>
    <chartFormat chart="3" format="2">
      <pivotArea type="data" outline="0" fieldPosition="0">
        <references count="2">
          <reference field="4294967294" count="1" selected="0">
            <x v="0"/>
          </reference>
          <reference field="3" count="1" selected="0">
            <x v="2"/>
          </reference>
        </references>
      </pivotArea>
    </chartFormat>
    <chartFormat chart="3" format="3">
      <pivotArea type="data" outline="0" fieldPosition="0">
        <references count="2">
          <reference field="4294967294" count="1" selected="0">
            <x v="0"/>
          </reference>
          <reference field="3" count="1" selected="0">
            <x v="4"/>
          </reference>
        </references>
      </pivotArea>
    </chartFormat>
    <chartFormat chart="3" format="4">
      <pivotArea type="data" outline="0" fieldPosition="0">
        <references count="2">
          <reference field="4294967294" count="1" selected="0">
            <x v="0"/>
          </reference>
          <reference field="3" count="1" selected="0">
            <x v="5"/>
          </reference>
        </references>
      </pivotArea>
    </chartFormat>
    <chartFormat chart="3" format="5">
      <pivotArea type="data" outline="0" fieldPosition="0">
        <references count="2">
          <reference field="4294967294" count="1" selected="0">
            <x v="0"/>
          </reference>
          <reference field="3" count="1" selected="0">
            <x v="6"/>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1"/>
          </reference>
        </references>
      </pivotArea>
    </chartFormat>
    <chartFormat chart="8" format="14">
      <pivotArea type="data" outline="0" fieldPosition="0">
        <references count="2">
          <reference field="4294967294" count="1" selected="0">
            <x v="0"/>
          </reference>
          <reference field="3" count="1" selected="0">
            <x v="2"/>
          </reference>
        </references>
      </pivotArea>
    </chartFormat>
    <chartFormat chart="8" format="15">
      <pivotArea type="data" outline="0" fieldPosition="0">
        <references count="2">
          <reference field="4294967294" count="1" selected="0">
            <x v="0"/>
          </reference>
          <reference field="3" count="1" selected="0">
            <x v="4"/>
          </reference>
        </references>
      </pivotArea>
    </chartFormat>
    <chartFormat chart="8" format="16">
      <pivotArea type="data" outline="0" fieldPosition="0">
        <references count="2">
          <reference field="4294967294" count="1" selected="0">
            <x v="0"/>
          </reference>
          <reference field="3" count="1" selected="0">
            <x v="5"/>
          </reference>
        </references>
      </pivotArea>
    </chartFormat>
    <chartFormat chart="8" format="1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231429-1F93-4724-B3AA-77DF8D6B0FE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25" firstHeaderRow="1" firstDataRow="1" firstDataCol="1"/>
  <pivotFields count="10">
    <pivotField axis="axisRow" showAll="0" sortType="descending" sumSubtotal="1" countSubtotal="1">
      <items count="14">
        <item x="1"/>
        <item x="8"/>
        <item x="5"/>
        <item x="11"/>
        <item x="3"/>
        <item x="0"/>
        <item x="9"/>
        <item x="10"/>
        <item x="4"/>
        <item x="2"/>
        <item x="6"/>
        <item x="7"/>
        <item t="sum"/>
        <item t="count"/>
      </items>
      <autoSortScope>
        <pivotArea dataOnly="0" outline="0" fieldPosition="0">
          <references count="1">
            <reference field="4294967294" count="1" selected="0">
              <x v="0"/>
            </reference>
          </references>
        </pivotArea>
      </autoSortScope>
    </pivotField>
    <pivotField showAll="0"/>
    <pivotField showAll="0"/>
    <pivotField showAll="0">
      <items count="8">
        <item m="1" x="6"/>
        <item x="2"/>
        <item x="3"/>
        <item m="1" x="5"/>
        <item x="1"/>
        <item x="0"/>
        <item x="4"/>
        <item t="default"/>
      </items>
    </pivotField>
    <pivotField showAll="0">
      <items count="3">
        <item x="0"/>
        <item x="1"/>
        <item t="default"/>
      </items>
    </pivotField>
    <pivotField showAll="0">
      <items count="5">
        <item x="0"/>
        <item x="1"/>
        <item x="2"/>
        <item x="3"/>
        <item t="default"/>
      </items>
    </pivotField>
    <pivotField dataField="1" numFmtId="164" showAll="0"/>
    <pivotField showAll="0"/>
    <pivotField showAll="0"/>
    <pivotField showAll="0"/>
  </pivotFields>
  <rowFields count="1">
    <field x="0"/>
  </rowFields>
  <rowItems count="13">
    <i>
      <x v="9"/>
    </i>
    <i>
      <x v="10"/>
    </i>
    <i>
      <x v="4"/>
    </i>
    <i>
      <x v="5"/>
    </i>
    <i>
      <x v="8"/>
    </i>
    <i>
      <x v="3"/>
    </i>
    <i>
      <x v="6"/>
    </i>
    <i>
      <x/>
    </i>
    <i>
      <x v="1"/>
    </i>
    <i>
      <x v="7"/>
    </i>
    <i>
      <x v="11"/>
    </i>
    <i>
      <x v="2"/>
    </i>
    <i t="grand">
      <x/>
    </i>
  </rowItems>
  <colItems count="1">
    <i/>
  </colItems>
  <dataFields count="1">
    <dataField name="Average of Price (USD)" fld="6"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imission" xr10:uid="{9F13A3E6-31C7-4CC3-8802-09A2B1F765BD}" sourceName="Transimission">
  <pivotTables>
    <pivotTable tabId="4" name="PivotTable4"/>
  </pivotTables>
  <data>
    <tabular pivotCacheId="18074836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6E8EE38B-A174-4985-9B6A-28333829DFA5}" sourceName="Owner">
  <pivotTables>
    <pivotTable tabId="4" name="PivotTable4"/>
  </pivotTables>
  <data>
    <tabular pivotCacheId="180748367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1" xr10:uid="{DC55FD31-4DF0-4811-A4BF-C2B808FA3CF4}" sourceName="Color">
  <pivotTables>
    <pivotTable tabId="4" name="PivotTable8"/>
  </pivotTables>
  <data>
    <tabular pivotCacheId="1807483672">
      <items count="7">
        <i x="2" s="1"/>
        <i x="3" s="1"/>
        <i x="1" s="1"/>
        <i x="0" s="1"/>
        <i x="4" s="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imission" xr10:uid="{5262A0F7-EE76-42EC-8D08-EDEF2D04C5C3}" cache="Slicer_Transimission" caption="Transimission" rowHeight="241300"/>
  <slicer name="Owner" xr10:uid="{BF6BAFB7-D1BB-4CFF-B179-C19810162A31}" cache="Slicer_Owner" caption="Owner" rowHeight="241300"/>
  <slicer name="Color" xr10:uid="{9ABE0B4E-3246-47FA-A48A-FEB85384331E}" cache="Slicer_Color1" caption="Col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imission 1" xr10:uid="{7619C5ED-7832-4EF7-8A90-22B9571C8D79}" cache="Slicer_Transimission" caption="Transimission" rowHeight="241300"/>
  <slicer name="Owner 1" xr10:uid="{126C62E3-A0A6-4860-AA71-5BCB023A831E}" cache="Slicer_Owner" caption="Owner" rowHeight="241300"/>
  <slicer name="Color 1" xr10:uid="{90EF9711-E0F2-4109-B04B-B8738DFDFE1B}" cache="Slicer_Color1" caption="Col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BA0AC6-6F94-44F3-AEE7-890DC3EEF1B7}" name="Table3" displayName="Table3" ref="A1:J19" totalsRowShown="0">
  <autoFilter ref="A1:J19" xr:uid="{D0BA0AC6-6F94-44F3-AEE7-890DC3EEF1B7}"/>
  <tableColumns count="10">
    <tableColumn id="1" xr3:uid="{0D9CDFAF-BED6-4768-A485-D6186A35DBFE}" name="Car"/>
    <tableColumn id="2" xr3:uid="{8695F47E-9B09-44B3-8094-E5B1EACF9656}" name="Year"/>
    <tableColumn id="3" xr3:uid="{A7901396-6B7A-407B-95C3-F8342D6C17B6}" name="KM Driven"/>
    <tableColumn id="4" xr3:uid="{95F5E6AE-572F-44DB-B554-308C0E9DA6C3}" name="Color"/>
    <tableColumn id="5" xr3:uid="{63D762E4-5D75-4D19-8CF6-BBCECB11094C}" name="Transimission"/>
    <tableColumn id="6" xr3:uid="{532B0D93-A2A5-44BB-91EC-180F0A01EA74}" name="Owner"/>
    <tableColumn id="7" xr3:uid="{76A944EA-05C7-4949-AC38-B1E0BC89EF11}" name="Price (USD)" dataDxfId="7"/>
    <tableColumn id="8" xr3:uid="{C15CB6D3-6A3D-43D4-B49E-78B947F631CB}" name="Car Age" dataDxfId="6">
      <calculatedColumnFormula>YEAR(TODAY()) - Table3[[#This Row],[Year]]</calculatedColumnFormula>
    </tableColumn>
    <tableColumn id="9" xr3:uid="{47B61D96-F52C-404E-BAA5-C4DE69DBABE6}" name="Price Band" dataDxfId="5">
      <calculatedColumnFormula>IF(Table3[[#This Row],[Price (USD)]]&lt;20000,"Budget",
IF(Table3[[#This Row],[Price (USD)]]&lt;50000,"Mid Range","Luxury"))</calculatedColumnFormula>
    </tableColumn>
    <tableColumn id="10" xr3:uid="{674EC9A4-6F06-43CC-BA27-413DFBC68C11}" name="Milage Group" dataDxfId="4">
      <calculatedColumnFormula>IF(Table3[[#This Row],[KM Driven]]&lt;50000,"Low",
IF(Table3[[#This Row],[KM Driven]]&lt;150000,"Medium","High"))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A87A0-EEAD-481C-B572-54CF1CEC60BE}">
  <dimension ref="A1:L19"/>
  <sheetViews>
    <sheetView workbookViewId="0">
      <selection activeCell="G23" sqref="G23"/>
    </sheetView>
  </sheetViews>
  <sheetFormatPr defaultRowHeight="15" x14ac:dyDescent="0.25"/>
  <cols>
    <col min="1" max="1" width="16.42578125" bestFit="1" customWidth="1"/>
    <col min="2" max="2" width="7.28515625" bestFit="1" customWidth="1"/>
    <col min="3" max="3" width="12.5703125" customWidth="1"/>
    <col min="4" max="4" width="8" bestFit="1" customWidth="1"/>
    <col min="5" max="5" width="15.5703125" bestFit="1" customWidth="1"/>
    <col min="6" max="6" width="10.42578125" bestFit="1" customWidth="1"/>
    <col min="7" max="7" width="13.28515625" style="4" bestFit="1" customWidth="1"/>
    <col min="8" max="8" width="10" bestFit="1" customWidth="1"/>
    <col min="9" max="9" width="12.5703125" bestFit="1" customWidth="1"/>
    <col min="10" max="10" width="15.5703125" bestFit="1" customWidth="1"/>
    <col min="11" max="11" width="17.140625" customWidth="1"/>
    <col min="12" max="12" width="13" customWidth="1"/>
  </cols>
  <sheetData>
    <row r="1" spans="1:12" x14ac:dyDescent="0.25">
      <c r="A1" s="1" t="s">
        <v>0</v>
      </c>
      <c r="B1" s="1" t="s">
        <v>1</v>
      </c>
      <c r="C1" s="1" t="s">
        <v>2</v>
      </c>
      <c r="D1" s="1" t="s">
        <v>3</v>
      </c>
      <c r="E1" s="1" t="s">
        <v>4</v>
      </c>
      <c r="F1" s="1" t="s">
        <v>5</v>
      </c>
      <c r="G1" s="3" t="s">
        <v>6</v>
      </c>
      <c r="H1" t="s">
        <v>30</v>
      </c>
      <c r="I1" t="s">
        <v>31</v>
      </c>
      <c r="J1" t="s">
        <v>32</v>
      </c>
      <c r="K1" t="s">
        <v>35</v>
      </c>
      <c r="L1" t="s">
        <v>36</v>
      </c>
    </row>
    <row r="2" spans="1:12" x14ac:dyDescent="0.25">
      <c r="A2" t="s">
        <v>7</v>
      </c>
      <c r="B2">
        <v>2012</v>
      </c>
      <c r="C2">
        <v>342358</v>
      </c>
      <c r="D2" t="s">
        <v>8</v>
      </c>
      <c r="E2" t="s">
        <v>9</v>
      </c>
      <c r="F2" t="s">
        <v>10</v>
      </c>
      <c r="G2" s="4">
        <v>15400</v>
      </c>
      <c r="H2">
        <f ca="1">YEAR(TODAY()) - Table3[[#This Row],[Year]]</f>
        <v>14</v>
      </c>
      <c r="I2" t="str">
        <f>IF(Table3[[#This Row],[Price (USD)]]&lt;20000,"Budget",
IF(Table3[[#This Row],[Price (USD)]]&lt;50000,"Mid Range","Luxury"))</f>
        <v>Budget</v>
      </c>
      <c r="J2" t="str">
        <f>IF(Table3[[#This Row],[KM Driven]]&lt;50000,"Low",
IF(Table3[[#This Row],[KM Driven]]&lt;150000,"Medium","High"))</f>
        <v>High</v>
      </c>
    </row>
    <row r="3" spans="1:12" x14ac:dyDescent="0.25">
      <c r="A3" t="s">
        <v>11</v>
      </c>
      <c r="B3">
        <v>2017</v>
      </c>
      <c r="C3">
        <v>130000</v>
      </c>
      <c r="D3" t="s">
        <v>12</v>
      </c>
      <c r="E3" t="s">
        <v>13</v>
      </c>
      <c r="F3" t="s">
        <v>14</v>
      </c>
      <c r="G3" s="4">
        <v>24321</v>
      </c>
      <c r="H3">
        <f ca="1">YEAR(TODAY()) - Table3[[#This Row],[Year]]</f>
        <v>9</v>
      </c>
      <c r="I3" t="str">
        <f>IF(Table3[[#This Row],[Price (USD)]]&lt;20000,"Budget",
IF(Table3[[#This Row],[Price (USD)]]&lt;50000,"Mid Range","Luxury"))</f>
        <v>Mid Range</v>
      </c>
      <c r="J3" t="str">
        <f>IF(Table3[[#This Row],[KM Driven]]&lt;50000,"Low",
IF(Table3[[#This Row],[KM Driven]]&lt;150000,"Medium","High"))</f>
        <v>Medium</v>
      </c>
    </row>
    <row r="4" spans="1:12" x14ac:dyDescent="0.25">
      <c r="A4" t="s">
        <v>15</v>
      </c>
      <c r="B4">
        <v>2020</v>
      </c>
      <c r="C4">
        <v>92450</v>
      </c>
      <c r="D4" t="s">
        <v>16</v>
      </c>
      <c r="E4" t="s">
        <v>9</v>
      </c>
      <c r="F4" t="s">
        <v>17</v>
      </c>
      <c r="G4" s="4">
        <v>102342</v>
      </c>
      <c r="H4">
        <f ca="1">YEAR(TODAY()) - Table3[[#This Row],[Year]]</f>
        <v>6</v>
      </c>
      <c r="I4" t="str">
        <f>IF(Table3[[#This Row],[Price (USD)]]&lt;20000,"Budget",
IF(Table3[[#This Row],[Price (USD)]]&lt;50000,"Mid Range","Luxury"))</f>
        <v>Luxury</v>
      </c>
      <c r="J4" t="str">
        <f>IF(Table3[[#This Row],[KM Driven]]&lt;50000,"Low",
IF(Table3[[#This Row],[KM Driven]]&lt;150000,"Medium","High"))</f>
        <v>Medium</v>
      </c>
    </row>
    <row r="5" spans="1:12" x14ac:dyDescent="0.25">
      <c r="A5" t="s">
        <v>7</v>
      </c>
      <c r="B5">
        <v>2020</v>
      </c>
      <c r="C5">
        <v>76240</v>
      </c>
      <c r="D5" t="s">
        <v>8</v>
      </c>
      <c r="E5" t="s">
        <v>9</v>
      </c>
      <c r="F5" t="s">
        <v>14</v>
      </c>
      <c r="G5" s="4">
        <v>55272</v>
      </c>
      <c r="H5">
        <f ca="1">YEAR(TODAY()) - Table3[[#This Row],[Year]]</f>
        <v>6</v>
      </c>
      <c r="I5" t="str">
        <f>IF(Table3[[#This Row],[Price (USD)]]&lt;20000,"Budget",
IF(Table3[[#This Row],[Price (USD)]]&lt;50000,"Mid Range","Luxury"))</f>
        <v>Luxury</v>
      </c>
      <c r="J5" t="str">
        <f>IF(Table3[[#This Row],[KM Driven]]&lt;50000,"Low",
IF(Table3[[#This Row],[KM Driven]]&lt;150000,"Medium","High"))</f>
        <v>Medium</v>
      </c>
      <c r="K5" t="s">
        <v>37</v>
      </c>
      <c r="L5" s="4">
        <f>AVERAGE(G2:G19)</f>
        <v>37699.166666666664</v>
      </c>
    </row>
    <row r="6" spans="1:12" x14ac:dyDescent="0.25">
      <c r="A6" t="s">
        <v>18</v>
      </c>
      <c r="B6">
        <v>2021</v>
      </c>
      <c r="C6">
        <v>17283</v>
      </c>
      <c r="D6" t="s">
        <v>8</v>
      </c>
      <c r="E6" t="s">
        <v>13</v>
      </c>
      <c r="F6" t="s">
        <v>10</v>
      </c>
      <c r="G6" s="4">
        <v>42000</v>
      </c>
      <c r="H6">
        <f ca="1">YEAR(TODAY()) - Table3[[#This Row],[Year]]</f>
        <v>5</v>
      </c>
      <c r="I6" t="str">
        <f>IF(Table3[[#This Row],[Price (USD)]]&lt;20000,"Budget",
IF(Table3[[#This Row],[Price (USD)]]&lt;50000,"Mid Range","Luxury"))</f>
        <v>Mid Range</v>
      </c>
      <c r="J6" t="str">
        <f>IF(Table3[[#This Row],[KM Driven]]&lt;50000,"Low",
IF(Table3[[#This Row],[KM Driven]]&lt;150000,"Medium","High"))</f>
        <v>Low</v>
      </c>
      <c r="L6" s="2"/>
    </row>
    <row r="7" spans="1:12" x14ac:dyDescent="0.25">
      <c r="A7" t="s">
        <v>19</v>
      </c>
      <c r="B7">
        <v>2020</v>
      </c>
      <c r="C7">
        <v>98312</v>
      </c>
      <c r="D7" t="s">
        <v>12</v>
      </c>
      <c r="E7" t="s">
        <v>9</v>
      </c>
      <c r="F7" t="s">
        <v>17</v>
      </c>
      <c r="G7" s="4">
        <v>51292</v>
      </c>
      <c r="H7">
        <f ca="1">YEAR(TODAY()) - Table3[[#This Row],[Year]]</f>
        <v>6</v>
      </c>
      <c r="I7" t="str">
        <f>IF(Table3[[#This Row],[Price (USD)]]&lt;20000,"Budget",
IF(Table3[[#This Row],[Price (USD)]]&lt;50000,"Mid Range","Luxury"))</f>
        <v>Luxury</v>
      </c>
      <c r="J7" t="str">
        <f>IF(Table3[[#This Row],[KM Driven]]&lt;50000,"Low",
IF(Table3[[#This Row],[KM Driven]]&lt;150000,"Medium","High"))</f>
        <v>Medium</v>
      </c>
      <c r="K7" t="s">
        <v>38</v>
      </c>
      <c r="L7" s="4">
        <f>MAX(G2:G19)</f>
        <v>102342</v>
      </c>
    </row>
    <row r="8" spans="1:12" x14ac:dyDescent="0.25">
      <c r="A8" t="s">
        <v>18</v>
      </c>
      <c r="B8">
        <v>2018</v>
      </c>
      <c r="C8">
        <v>156784</v>
      </c>
      <c r="D8" t="s">
        <v>20</v>
      </c>
      <c r="E8" t="s">
        <v>13</v>
      </c>
      <c r="F8" t="s">
        <v>17</v>
      </c>
      <c r="G8" s="4">
        <v>37605</v>
      </c>
      <c r="H8">
        <f ca="1">YEAR(TODAY()) - Table3[[#This Row],[Year]]</f>
        <v>8</v>
      </c>
      <c r="I8" t="str">
        <f>IF(Table3[[#This Row],[Price (USD)]]&lt;20000,"Budget",
IF(Table3[[#This Row],[Price (USD)]]&lt;50000,"Mid Range","Luxury"))</f>
        <v>Mid Range</v>
      </c>
      <c r="J8" t="str">
        <f>IF(Table3[[#This Row],[KM Driven]]&lt;50000,"Low",
IF(Table3[[#This Row],[KM Driven]]&lt;150000,"Medium","High"))</f>
        <v>High</v>
      </c>
      <c r="L8" s="2"/>
    </row>
    <row r="9" spans="1:12" x14ac:dyDescent="0.25">
      <c r="A9" t="s">
        <v>7</v>
      </c>
      <c r="B9">
        <v>2019</v>
      </c>
      <c r="C9">
        <v>52034</v>
      </c>
      <c r="D9" t="s">
        <v>20</v>
      </c>
      <c r="E9" t="s">
        <v>9</v>
      </c>
      <c r="F9" t="s">
        <v>10</v>
      </c>
      <c r="G9" s="4">
        <v>45000</v>
      </c>
      <c r="H9">
        <f ca="1">YEAR(TODAY()) - Table3[[#This Row],[Year]]</f>
        <v>7</v>
      </c>
      <c r="I9" t="str">
        <f>IF(Table3[[#This Row],[Price (USD)]]&lt;20000,"Budget",
IF(Table3[[#This Row],[Price (USD)]]&lt;50000,"Mid Range","Luxury"))</f>
        <v>Mid Range</v>
      </c>
      <c r="J9" t="str">
        <f>IF(Table3[[#This Row],[KM Driven]]&lt;50000,"Low",
IF(Table3[[#This Row],[KM Driven]]&lt;150000,"Medium","High"))</f>
        <v>Medium</v>
      </c>
      <c r="K9" t="s">
        <v>39</v>
      </c>
      <c r="L9" s="4">
        <f>MIN(G2:G19)</f>
        <v>13241</v>
      </c>
    </row>
    <row r="10" spans="1:12" x14ac:dyDescent="0.25">
      <c r="A10" t="s">
        <v>21</v>
      </c>
      <c r="B10">
        <v>2011</v>
      </c>
      <c r="C10">
        <v>205204</v>
      </c>
      <c r="D10" t="s">
        <v>12</v>
      </c>
      <c r="E10" t="s">
        <v>9</v>
      </c>
      <c r="F10" t="s">
        <v>14</v>
      </c>
      <c r="G10" s="4">
        <v>13241</v>
      </c>
      <c r="H10">
        <f ca="1">YEAR(TODAY()) - Table3[[#This Row],[Year]]</f>
        <v>15</v>
      </c>
      <c r="I10" t="str">
        <f>IF(Table3[[#This Row],[Price (USD)]]&lt;20000,"Budget",
IF(Table3[[#This Row],[Price (USD)]]&lt;50000,"Mid Range","Luxury"))</f>
        <v>Budget</v>
      </c>
      <c r="J10" t="str">
        <f>IF(Table3[[#This Row],[KM Driven]]&lt;50000,"Low",
IF(Table3[[#This Row],[KM Driven]]&lt;150000,"Medium","High"))</f>
        <v>High</v>
      </c>
      <c r="L10" s="2"/>
    </row>
    <row r="11" spans="1:12" x14ac:dyDescent="0.25">
      <c r="A11" t="s">
        <v>15</v>
      </c>
      <c r="B11">
        <v>2014</v>
      </c>
      <c r="C11">
        <v>152985</v>
      </c>
      <c r="D11" t="s">
        <v>16</v>
      </c>
      <c r="E11" t="s">
        <v>9</v>
      </c>
      <c r="F11" t="s">
        <v>14</v>
      </c>
      <c r="G11" s="4">
        <v>49344</v>
      </c>
      <c r="H11">
        <f ca="1">YEAR(TODAY()) - Table3[[#This Row],[Year]]</f>
        <v>12</v>
      </c>
      <c r="I11" t="str">
        <f>IF(Table3[[#This Row],[Price (USD)]]&lt;20000,"Budget",
IF(Table3[[#This Row],[Price (USD)]]&lt;50000,"Mid Range","Luxury"))</f>
        <v>Mid Range</v>
      </c>
      <c r="J11" t="str">
        <f>IF(Table3[[#This Row],[KM Driven]]&lt;50000,"Low",
IF(Table3[[#This Row],[KM Driven]]&lt;150000,"Medium","High"))</f>
        <v>High</v>
      </c>
      <c r="K11" t="s">
        <v>40</v>
      </c>
      <c r="L11" s="5">
        <f>AVERAGE(C2:C19)</f>
        <v>115572.22222222222</v>
      </c>
    </row>
    <row r="12" spans="1:12" x14ac:dyDescent="0.25">
      <c r="A12" t="s">
        <v>22</v>
      </c>
      <c r="B12">
        <v>2018</v>
      </c>
      <c r="C12">
        <v>76429</v>
      </c>
      <c r="D12" t="s">
        <v>23</v>
      </c>
      <c r="E12" t="s">
        <v>9</v>
      </c>
      <c r="F12" t="s">
        <v>10</v>
      </c>
      <c r="G12" s="4">
        <v>52432</v>
      </c>
      <c r="H12">
        <f ca="1">YEAR(TODAY()) - Table3[[#This Row],[Year]]</f>
        <v>8</v>
      </c>
      <c r="I12" t="str">
        <f>IF(Table3[[#This Row],[Price (USD)]]&lt;20000,"Budget",
IF(Table3[[#This Row],[Price (USD)]]&lt;50000,"Mid Range","Luxury"))</f>
        <v>Luxury</v>
      </c>
      <c r="J12" t="str">
        <f>IF(Table3[[#This Row],[KM Driven]]&lt;50000,"Low",
IF(Table3[[#This Row],[KM Driven]]&lt;150000,"Medium","High"))</f>
        <v>Medium</v>
      </c>
      <c r="L12" s="2"/>
    </row>
    <row r="13" spans="1:12" x14ac:dyDescent="0.25">
      <c r="A13" t="s">
        <v>24</v>
      </c>
      <c r="B13">
        <v>2013</v>
      </c>
      <c r="C13">
        <v>254028</v>
      </c>
      <c r="D13" t="s">
        <v>16</v>
      </c>
      <c r="E13" t="s">
        <v>13</v>
      </c>
      <c r="F13" t="s">
        <v>14</v>
      </c>
      <c r="G13" s="4">
        <v>17452</v>
      </c>
      <c r="H13">
        <f ca="1">YEAR(TODAY()) - Table3[[#This Row],[Year]]</f>
        <v>13</v>
      </c>
      <c r="I13" t="str">
        <f>IF(Table3[[#This Row],[Price (USD)]]&lt;20000,"Budget",
IF(Table3[[#This Row],[Price (USD)]]&lt;50000,"Mid Range","Luxury"))</f>
        <v>Budget</v>
      </c>
      <c r="J13" t="str">
        <f>IF(Table3[[#This Row],[KM Driven]]&lt;50000,"Low",
IF(Table3[[#This Row],[KM Driven]]&lt;150000,"Medium","High"))</f>
        <v>High</v>
      </c>
      <c r="K13" t="s">
        <v>33</v>
      </c>
      <c r="L13" s="5">
        <f>MIN(C2:C19)</f>
        <v>5000</v>
      </c>
    </row>
    <row r="14" spans="1:12" x14ac:dyDescent="0.25">
      <c r="A14" t="s">
        <v>25</v>
      </c>
      <c r="B14">
        <v>2014</v>
      </c>
      <c r="C14">
        <v>45832</v>
      </c>
      <c r="D14" t="s">
        <v>8</v>
      </c>
      <c r="E14" t="s">
        <v>13</v>
      </c>
      <c r="F14" t="s">
        <v>10</v>
      </c>
      <c r="G14" s="4">
        <v>23250</v>
      </c>
      <c r="H14">
        <f ca="1">YEAR(TODAY()) - Table3[[#This Row],[Year]]</f>
        <v>12</v>
      </c>
      <c r="I14" t="str">
        <f>IF(Table3[[#This Row],[Price (USD)]]&lt;20000,"Budget",
IF(Table3[[#This Row],[Price (USD)]]&lt;50000,"Mid Range","Luxury"))</f>
        <v>Mid Range</v>
      </c>
      <c r="J14" t="str">
        <f>IF(Table3[[#This Row],[KM Driven]]&lt;50000,"Low",
IF(Table3[[#This Row],[KM Driven]]&lt;150000,"Medium","High"))</f>
        <v>Low</v>
      </c>
      <c r="L14" s="2"/>
    </row>
    <row r="15" spans="1:12" x14ac:dyDescent="0.25">
      <c r="A15" t="s">
        <v>26</v>
      </c>
      <c r="B15">
        <v>2018</v>
      </c>
      <c r="C15">
        <v>67591</v>
      </c>
      <c r="D15" t="s">
        <v>20</v>
      </c>
      <c r="E15" t="s">
        <v>9</v>
      </c>
      <c r="F15" t="s">
        <v>14</v>
      </c>
      <c r="G15" s="4">
        <v>32420</v>
      </c>
      <c r="H15">
        <f ca="1">YEAR(TODAY()) - Table3[[#This Row],[Year]]</f>
        <v>8</v>
      </c>
      <c r="I15" t="str">
        <f>IF(Table3[[#This Row],[Price (USD)]]&lt;20000,"Budget",
IF(Table3[[#This Row],[Price (USD)]]&lt;50000,"Mid Range","Luxury"))</f>
        <v>Mid Range</v>
      </c>
      <c r="J15" t="str">
        <f>IF(Table3[[#This Row],[KM Driven]]&lt;50000,"Low",
IF(Table3[[#This Row],[KM Driven]]&lt;150000,"Medium","High"))</f>
        <v>Medium</v>
      </c>
      <c r="K15" t="s">
        <v>34</v>
      </c>
      <c r="L15" s="5">
        <f>MAX(C2:C19)</f>
        <v>342358</v>
      </c>
    </row>
    <row r="16" spans="1:12" x14ac:dyDescent="0.25">
      <c r="A16" t="s">
        <v>27</v>
      </c>
      <c r="B16">
        <v>2013</v>
      </c>
      <c r="C16">
        <v>85320</v>
      </c>
      <c r="D16" t="s">
        <v>8</v>
      </c>
      <c r="E16" t="s">
        <v>9</v>
      </c>
      <c r="F16" t="s">
        <v>14</v>
      </c>
      <c r="G16" s="4">
        <v>18454</v>
      </c>
      <c r="H16">
        <f ca="1">YEAR(TODAY()) - Table3[[#This Row],[Year]]</f>
        <v>13</v>
      </c>
      <c r="I16" t="str">
        <f>IF(Table3[[#This Row],[Price (USD)]]&lt;20000,"Budget",
IF(Table3[[#This Row],[Price (USD)]]&lt;50000,"Mid Range","Luxury"))</f>
        <v>Budget</v>
      </c>
      <c r="J16" t="str">
        <f>IF(Table3[[#This Row],[KM Driven]]&lt;50000,"Low",
IF(Table3[[#This Row],[KM Driven]]&lt;150000,"Medium","High"))</f>
        <v>Medium</v>
      </c>
      <c r="L16" s="2"/>
    </row>
    <row r="17" spans="1:12" x14ac:dyDescent="0.25">
      <c r="A17" t="s">
        <v>19</v>
      </c>
      <c r="B17">
        <v>2016</v>
      </c>
      <c r="C17">
        <v>5000</v>
      </c>
      <c r="D17" t="s">
        <v>8</v>
      </c>
      <c r="E17" t="s">
        <v>9</v>
      </c>
      <c r="F17" t="s">
        <v>10</v>
      </c>
      <c r="G17" s="4">
        <v>41000</v>
      </c>
      <c r="H17">
        <f ca="1">YEAR(TODAY()) - Table3[[#This Row],[Year]]</f>
        <v>10</v>
      </c>
      <c r="I17" t="str">
        <f>IF(Table3[[#This Row],[Price (USD)]]&lt;20000,"Budget",
IF(Table3[[#This Row],[Price (USD)]]&lt;50000,"Mid Range","Luxury"))</f>
        <v>Mid Range</v>
      </c>
      <c r="J17" t="str">
        <f>IF(Table3[[#This Row],[KM Driven]]&lt;50000,"Low",
IF(Table3[[#This Row],[KM Driven]]&lt;150000,"Medium","High"))</f>
        <v>Low</v>
      </c>
      <c r="K17" t="s">
        <v>41</v>
      </c>
      <c r="L17">
        <f>COUNTA(A2:A19)</f>
        <v>18</v>
      </c>
    </row>
    <row r="18" spans="1:12" x14ac:dyDescent="0.25">
      <c r="A18" t="s">
        <v>28</v>
      </c>
      <c r="B18">
        <v>2017</v>
      </c>
      <c r="C18">
        <v>92450</v>
      </c>
      <c r="D18" t="s">
        <v>12</v>
      </c>
      <c r="E18" t="s">
        <v>13</v>
      </c>
      <c r="F18" t="s">
        <v>14</v>
      </c>
      <c r="G18" s="4">
        <v>35240</v>
      </c>
      <c r="H18">
        <f ca="1">YEAR(TODAY()) - Table3[[#This Row],[Year]]</f>
        <v>9</v>
      </c>
      <c r="I18" t="str">
        <f>IF(Table3[[#This Row],[Price (USD)]]&lt;20000,"Budget",
IF(Table3[[#This Row],[Price (USD)]]&lt;50000,"Mid Range","Luxury"))</f>
        <v>Mid Range</v>
      </c>
      <c r="J18" t="str">
        <f>IF(Table3[[#This Row],[KM Driven]]&lt;50000,"Low",
IF(Table3[[#This Row],[KM Driven]]&lt;150000,"Medium","High"))</f>
        <v>Medium</v>
      </c>
    </row>
    <row r="19" spans="1:12" x14ac:dyDescent="0.25">
      <c r="A19" t="s">
        <v>19</v>
      </c>
      <c r="B19">
        <v>2015</v>
      </c>
      <c r="C19">
        <v>130000</v>
      </c>
      <c r="D19" t="s">
        <v>16</v>
      </c>
      <c r="E19" t="s">
        <v>9</v>
      </c>
      <c r="F19" t="s">
        <v>29</v>
      </c>
      <c r="G19" s="4">
        <v>22520</v>
      </c>
      <c r="H19">
        <f ca="1">YEAR(TODAY()) - Table3[[#This Row],[Year]]</f>
        <v>11</v>
      </c>
      <c r="I19" t="str">
        <f>IF(Table3[[#This Row],[Price (USD)]]&lt;20000,"Budget",
IF(Table3[[#This Row],[Price (USD)]]&lt;50000,"Mid Range","Luxury"))</f>
        <v>Mid Range</v>
      </c>
      <c r="J19" t="str">
        <f>IF(Table3[[#This Row],[KM Driven]]&lt;50000,"Low",
IF(Table3[[#This Row],[KM Driven]]&lt;150000,"Medium","High"))</f>
        <v>Medium</v>
      </c>
    </row>
  </sheetData>
  <conditionalFormatting sqref="A1:J1 L1:XFD1 A2:XFD4 A5:J5 L5:XFD5 A6:XFD6 A7:J7 L7:XFD7 A8:XFD8 A9:J9 L9:XFD9 A10:XFD10 A11:J11 L11:XFD11 A12:XFD16 A17:J17 L17:XFD17 A18:XFD1048576">
    <cfRule type="containsBlanks" priority="1">
      <formula>LEN(TRIM(A1))=0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2E1B-5C5F-47B9-9435-91FE587E0E75}">
  <dimension ref="A3:L25"/>
  <sheetViews>
    <sheetView tabSelected="1" zoomScale="81" zoomScaleNormal="100" workbookViewId="0">
      <selection activeCell="N29" sqref="N29"/>
    </sheetView>
  </sheetViews>
  <sheetFormatPr defaultRowHeight="15" x14ac:dyDescent="0.25"/>
  <cols>
    <col min="1" max="1" width="18.140625" bestFit="1" customWidth="1"/>
    <col min="2" max="2" width="21.7109375" bestFit="1" customWidth="1"/>
    <col min="4" max="4" width="13.140625" bestFit="1" customWidth="1"/>
    <col min="5" max="5" width="21.42578125" bestFit="1" customWidth="1"/>
    <col min="7" max="7" width="13.140625" bestFit="1" customWidth="1"/>
    <col min="8" max="8" width="11.85546875" customWidth="1"/>
    <col min="11" max="11" width="13.140625" bestFit="1" customWidth="1"/>
    <col min="12" max="12" width="11.85546875" bestFit="1" customWidth="1"/>
  </cols>
  <sheetData>
    <row r="3" spans="1:12" x14ac:dyDescent="0.25">
      <c r="A3" s="6" t="s">
        <v>42</v>
      </c>
      <c r="B3" t="s">
        <v>44</v>
      </c>
      <c r="D3" s="6" t="s">
        <v>42</v>
      </c>
      <c r="E3" t="s">
        <v>44</v>
      </c>
      <c r="G3" s="6" t="s">
        <v>42</v>
      </c>
      <c r="H3" t="s">
        <v>45</v>
      </c>
      <c r="K3" s="6" t="s">
        <v>42</v>
      </c>
      <c r="L3" t="s">
        <v>46</v>
      </c>
    </row>
    <row r="4" spans="1:12" x14ac:dyDescent="0.25">
      <c r="A4" s="7" t="s">
        <v>9</v>
      </c>
      <c r="B4" s="4">
        <v>498717</v>
      </c>
      <c r="D4" s="7" t="s">
        <v>10</v>
      </c>
      <c r="E4" s="4">
        <v>219082</v>
      </c>
      <c r="G4" s="7">
        <v>5</v>
      </c>
      <c r="H4" s="4">
        <v>42000</v>
      </c>
      <c r="K4" s="7" t="s">
        <v>47</v>
      </c>
      <c r="L4">
        <v>4</v>
      </c>
    </row>
    <row r="5" spans="1:12" x14ac:dyDescent="0.25">
      <c r="A5" s="7" t="s">
        <v>13</v>
      </c>
      <c r="B5" s="4">
        <v>179868</v>
      </c>
      <c r="D5" s="7" t="s">
        <v>14</v>
      </c>
      <c r="E5" s="4">
        <v>245744</v>
      </c>
      <c r="G5" s="7">
        <v>6</v>
      </c>
      <c r="H5" s="4">
        <v>69635.333333333328</v>
      </c>
      <c r="K5" s="7" t="s">
        <v>48</v>
      </c>
      <c r="L5">
        <v>4</v>
      </c>
    </row>
    <row r="6" spans="1:12" x14ac:dyDescent="0.25">
      <c r="A6" s="7" t="s">
        <v>43</v>
      </c>
      <c r="B6" s="4">
        <v>678585</v>
      </c>
      <c r="D6" s="7" t="s">
        <v>17</v>
      </c>
      <c r="E6" s="4">
        <v>191239</v>
      </c>
      <c r="G6" s="7">
        <v>7</v>
      </c>
      <c r="H6" s="4">
        <v>45000</v>
      </c>
      <c r="K6" s="7" t="s">
        <v>49</v>
      </c>
      <c r="L6">
        <v>10</v>
      </c>
    </row>
    <row r="7" spans="1:12" x14ac:dyDescent="0.25">
      <c r="D7" s="7" t="s">
        <v>29</v>
      </c>
      <c r="E7" s="4">
        <v>22520</v>
      </c>
      <c r="G7" s="7">
        <v>8</v>
      </c>
      <c r="H7" s="4">
        <v>40819</v>
      </c>
      <c r="K7" s="7" t="s">
        <v>43</v>
      </c>
      <c r="L7">
        <v>18</v>
      </c>
    </row>
    <row r="8" spans="1:12" x14ac:dyDescent="0.25">
      <c r="D8" s="7" t="s">
        <v>43</v>
      </c>
      <c r="E8" s="4">
        <v>678585</v>
      </c>
      <c r="G8" s="7">
        <v>9</v>
      </c>
      <c r="H8" s="4">
        <v>29780.5</v>
      </c>
    </row>
    <row r="9" spans="1:12" x14ac:dyDescent="0.25">
      <c r="G9" s="7">
        <v>10</v>
      </c>
      <c r="H9" s="4">
        <v>41000</v>
      </c>
    </row>
    <row r="10" spans="1:12" x14ac:dyDescent="0.25">
      <c r="G10" s="7">
        <v>11</v>
      </c>
      <c r="H10" s="4">
        <v>22520</v>
      </c>
    </row>
    <row r="11" spans="1:12" x14ac:dyDescent="0.25">
      <c r="G11" s="7">
        <v>12</v>
      </c>
      <c r="H11" s="4">
        <v>36297</v>
      </c>
    </row>
    <row r="12" spans="1:12" x14ac:dyDescent="0.25">
      <c r="A12" s="6" t="s">
        <v>42</v>
      </c>
      <c r="B12" t="s">
        <v>45</v>
      </c>
      <c r="D12" s="6" t="s">
        <v>42</v>
      </c>
      <c r="E12" t="s">
        <v>45</v>
      </c>
      <c r="G12" s="7">
        <v>13</v>
      </c>
      <c r="H12" s="4">
        <v>17953</v>
      </c>
    </row>
    <row r="13" spans="1:12" x14ac:dyDescent="0.25">
      <c r="A13" s="7" t="s">
        <v>15</v>
      </c>
      <c r="B13" s="4">
        <v>75843</v>
      </c>
      <c r="D13" s="7" t="s">
        <v>9</v>
      </c>
      <c r="E13" s="4">
        <v>41559.75</v>
      </c>
      <c r="G13" s="7">
        <v>14</v>
      </c>
      <c r="H13" s="4">
        <v>15400</v>
      </c>
    </row>
    <row r="14" spans="1:12" x14ac:dyDescent="0.25">
      <c r="A14" s="7" t="s">
        <v>22</v>
      </c>
      <c r="B14" s="4">
        <v>52432</v>
      </c>
      <c r="D14" s="7" t="s">
        <v>13</v>
      </c>
      <c r="E14" s="4">
        <v>29978</v>
      </c>
      <c r="G14" s="7">
        <v>15</v>
      </c>
      <c r="H14" s="4">
        <v>13241</v>
      </c>
    </row>
    <row r="15" spans="1:12" x14ac:dyDescent="0.25">
      <c r="A15" s="7" t="s">
        <v>18</v>
      </c>
      <c r="B15" s="4">
        <v>39802.5</v>
      </c>
      <c r="D15" s="7" t="s">
        <v>43</v>
      </c>
      <c r="E15" s="4">
        <v>37699.166666666664</v>
      </c>
      <c r="G15" s="7" t="s">
        <v>43</v>
      </c>
      <c r="H15" s="4">
        <v>37699.166666666664</v>
      </c>
    </row>
    <row r="16" spans="1:12" x14ac:dyDescent="0.25">
      <c r="A16" s="7" t="s">
        <v>7</v>
      </c>
      <c r="B16" s="4">
        <v>38557.333333333336</v>
      </c>
    </row>
    <row r="17" spans="1:12" x14ac:dyDescent="0.25">
      <c r="A17" s="7" t="s">
        <v>19</v>
      </c>
      <c r="B17" s="4">
        <v>38270.666666666664</v>
      </c>
    </row>
    <row r="18" spans="1:12" x14ac:dyDescent="0.25">
      <c r="A18" s="7" t="s">
        <v>28</v>
      </c>
      <c r="B18" s="4">
        <v>35240</v>
      </c>
      <c r="D18" s="6" t="s">
        <v>42</v>
      </c>
      <c r="E18" t="s">
        <v>45</v>
      </c>
      <c r="G18" s="6" t="s">
        <v>42</v>
      </c>
      <c r="H18" t="s">
        <v>46</v>
      </c>
      <c r="K18" s="6" t="s">
        <v>42</v>
      </c>
      <c r="L18" t="s">
        <v>46</v>
      </c>
    </row>
    <row r="19" spans="1:12" x14ac:dyDescent="0.25">
      <c r="A19" s="7" t="s">
        <v>26</v>
      </c>
      <c r="B19" s="4">
        <v>32420</v>
      </c>
      <c r="D19" s="7" t="s">
        <v>10</v>
      </c>
      <c r="E19" s="4">
        <v>36513.666666666664</v>
      </c>
      <c r="G19" s="7" t="s">
        <v>16</v>
      </c>
      <c r="H19">
        <v>4</v>
      </c>
      <c r="K19" s="7" t="s">
        <v>50</v>
      </c>
      <c r="L19">
        <v>5</v>
      </c>
    </row>
    <row r="20" spans="1:12" x14ac:dyDescent="0.25">
      <c r="A20" s="7" t="s">
        <v>11</v>
      </c>
      <c r="B20" s="4">
        <v>24321</v>
      </c>
      <c r="D20" s="7" t="s">
        <v>14</v>
      </c>
      <c r="E20" s="4">
        <v>30718</v>
      </c>
      <c r="G20" s="7" t="s">
        <v>20</v>
      </c>
      <c r="H20">
        <v>3</v>
      </c>
      <c r="K20" s="7" t="s">
        <v>51</v>
      </c>
      <c r="L20">
        <v>3</v>
      </c>
    </row>
    <row r="21" spans="1:12" x14ac:dyDescent="0.25">
      <c r="A21" s="7" t="s">
        <v>25</v>
      </c>
      <c r="B21" s="4">
        <v>23250</v>
      </c>
      <c r="D21" s="7" t="s">
        <v>17</v>
      </c>
      <c r="E21" s="4">
        <v>63746.333333333336</v>
      </c>
      <c r="G21" s="7" t="s">
        <v>12</v>
      </c>
      <c r="H21">
        <v>4</v>
      </c>
      <c r="K21" s="7" t="s">
        <v>52</v>
      </c>
      <c r="L21">
        <v>10</v>
      </c>
    </row>
    <row r="22" spans="1:12" x14ac:dyDescent="0.25">
      <c r="A22" s="7" t="s">
        <v>27</v>
      </c>
      <c r="B22" s="4">
        <v>18454</v>
      </c>
      <c r="D22" s="7" t="s">
        <v>29</v>
      </c>
      <c r="E22" s="4">
        <v>22520</v>
      </c>
      <c r="G22" s="7" t="s">
        <v>8</v>
      </c>
      <c r="H22">
        <v>6</v>
      </c>
      <c r="K22" s="7" t="s">
        <v>43</v>
      </c>
      <c r="L22">
        <v>18</v>
      </c>
    </row>
    <row r="23" spans="1:12" x14ac:dyDescent="0.25">
      <c r="A23" s="7" t="s">
        <v>24</v>
      </c>
      <c r="B23" s="4">
        <v>17452</v>
      </c>
      <c r="D23" s="7" t="s">
        <v>43</v>
      </c>
      <c r="E23" s="4">
        <v>37699.166666666664</v>
      </c>
      <c r="G23" s="7" t="s">
        <v>23</v>
      </c>
      <c r="H23">
        <v>1</v>
      </c>
    </row>
    <row r="24" spans="1:12" x14ac:dyDescent="0.25">
      <c r="A24" s="7" t="s">
        <v>21</v>
      </c>
      <c r="B24" s="4">
        <v>13241</v>
      </c>
      <c r="G24" s="7" t="s">
        <v>43</v>
      </c>
      <c r="H24">
        <v>18</v>
      </c>
    </row>
    <row r="25" spans="1:12" x14ac:dyDescent="0.25">
      <c r="A25" s="7" t="s">
        <v>43</v>
      </c>
      <c r="B25" s="4">
        <v>37699.166666666664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8C47-1821-497A-BD5D-91CAF96F5090}">
  <dimension ref="A1"/>
  <sheetViews>
    <sheetView zoomScale="70" zoomScaleNormal="70" workbookViewId="0">
      <selection activeCell="AC24" sqref="AC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9B9645A6-A477-4EF6-BF48-73F8C5A88D39}">
  <ds:schemaRefs/>
</ds:datastoreItem>
</file>

<file path=customXml/itemProps2.xml><?xml version="1.0" encoding="utf-8"?>
<ds:datastoreItem xmlns:ds="http://schemas.openxmlformats.org/officeDocument/2006/customXml" ds:itemID="{2D24C5EB-1A9C-4489-8732-4E5F7189D3D8}">
  <ds:schemaRefs/>
</ds:datastoreItem>
</file>

<file path=customXml/itemProps3.xml><?xml version="1.0" encoding="utf-8"?>
<ds:datastoreItem xmlns:ds="http://schemas.openxmlformats.org/officeDocument/2006/customXml" ds:itemID="{D667EE37-D5BF-4D0B-9EA4-3F8E4C7BE29B}">
  <ds:schemaRefs/>
</ds:datastoreItem>
</file>

<file path=customXml/itemProps4.xml><?xml version="1.0" encoding="utf-8"?>
<ds:datastoreItem xmlns:ds="http://schemas.openxmlformats.org/officeDocument/2006/customXml" ds:itemID="{7201B5AA-4C44-4322-A595-6D46A5B7FD43}">
  <ds:schemaRefs/>
</ds:datastoreItem>
</file>

<file path=customXml/itemProps5.xml><?xml version="1.0" encoding="utf-8"?>
<ds:datastoreItem xmlns:ds="http://schemas.openxmlformats.org/officeDocument/2006/customXml" ds:itemID="{AE1F87B3-18DE-4C17-90BD-3952133E16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Table 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Famous Onyema</dc:creator>
  <cp:lastModifiedBy>Qadir Shonibare</cp:lastModifiedBy>
  <dcterms:created xsi:type="dcterms:W3CDTF">2024-03-07T13:16:07Z</dcterms:created>
  <dcterms:modified xsi:type="dcterms:W3CDTF">2026-02-10T13:31:29Z</dcterms:modified>
</cp:coreProperties>
</file>